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LGU1VY\Desktop\"/>
    </mc:Choice>
  </mc:AlternateContent>
  <xr:revisionPtr revIDLastSave="0" documentId="8_{B8B4EC80-02FD-4939-9DDB-A0B1C0564F58}" xr6:coauthVersionLast="47" xr6:coauthVersionMax="47" xr10:uidLastSave="{00000000-0000-0000-0000-000000000000}"/>
  <bookViews>
    <workbookView xWindow="-110" yWindow="-110" windowWidth="19420" windowHeight="10300" tabRatio="522" xr2:uid="{00000000-000D-0000-FFFF-FFFF00000000}"/>
  </bookViews>
  <sheets>
    <sheet name="Allg." sheetId="3" r:id="rId1"/>
    <sheet name="Company Invoice Infor" sheetId="9" r:id="rId2"/>
    <sheet name="Sheet1" sheetId="6" state="hidden" r:id="rId3"/>
    <sheet name="Invoice" sheetId="4" r:id="rId4"/>
    <sheet name="Certificate" sheetId="5" r:id="rId5"/>
    <sheet name="Schedule" sheetId="11" r:id="rId6"/>
    <sheet name="Konfiguration" sheetId="7" state="hidden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0" hidden="1">Allg.!$A$313:$J$428</definedName>
    <definedName name="_xlnm._FilterDatabase" localSheetId="4" hidden="1">Certificate!$A$2:$K$107</definedName>
    <definedName name="_xlnm.Print_Area" localSheetId="0">Allg.!$A$1:$K$5</definedName>
    <definedName name="_xlnm.Print_Area" localSheetId="1">'Company Invoice Infor'!$A$1:$D$4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9" i="5" l="1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H206" i="5"/>
  <c r="I206" i="5" s="1"/>
  <c r="H109" i="5"/>
  <c r="I109" i="5" s="1"/>
  <c r="H110" i="5"/>
  <c r="I110" i="5" s="1"/>
  <c r="H111" i="5"/>
  <c r="I111" i="5" s="1"/>
  <c r="H112" i="5"/>
  <c r="I112" i="5" s="1"/>
  <c r="H113" i="5"/>
  <c r="I113" i="5" s="1"/>
  <c r="H114" i="5"/>
  <c r="I114" i="5" s="1"/>
  <c r="H115" i="5"/>
  <c r="I115" i="5" s="1"/>
  <c r="H116" i="5"/>
  <c r="I116" i="5" s="1"/>
  <c r="H117" i="5"/>
  <c r="I117" i="5" s="1"/>
  <c r="H118" i="5"/>
  <c r="I118" i="5" s="1"/>
  <c r="H119" i="5"/>
  <c r="I119" i="5" s="1"/>
  <c r="H120" i="5"/>
  <c r="I120" i="5" s="1"/>
  <c r="H121" i="5"/>
  <c r="I121" i="5" s="1"/>
  <c r="H122" i="5"/>
  <c r="I122" i="5" s="1"/>
  <c r="H123" i="5"/>
  <c r="I123" i="5" s="1"/>
  <c r="H124" i="5"/>
  <c r="I124" i="5" s="1"/>
  <c r="H125" i="5"/>
  <c r="I125" i="5" s="1"/>
  <c r="H126" i="5"/>
  <c r="I126" i="5" s="1"/>
  <c r="H127" i="5"/>
  <c r="I127" i="5" s="1"/>
  <c r="H128" i="5"/>
  <c r="I128" i="5" s="1"/>
  <c r="H129" i="5"/>
  <c r="I129" i="5" s="1"/>
  <c r="H130" i="5"/>
  <c r="I130" i="5" s="1"/>
  <c r="H131" i="5"/>
  <c r="I131" i="5" s="1"/>
  <c r="H132" i="5"/>
  <c r="I132" i="5" s="1"/>
  <c r="H133" i="5"/>
  <c r="I133" i="5" s="1"/>
  <c r="H134" i="5"/>
  <c r="I134" i="5" s="1"/>
  <c r="H135" i="5"/>
  <c r="I135" i="5" s="1"/>
  <c r="H136" i="5"/>
  <c r="I136" i="5" s="1"/>
  <c r="H137" i="5"/>
  <c r="I137" i="5" s="1"/>
  <c r="H138" i="5"/>
  <c r="I138" i="5" s="1"/>
  <c r="H139" i="5"/>
  <c r="I139" i="5" s="1"/>
  <c r="H140" i="5"/>
  <c r="I140" i="5" s="1"/>
  <c r="H141" i="5"/>
  <c r="I141" i="5" s="1"/>
  <c r="H142" i="5"/>
  <c r="I142" i="5" s="1"/>
  <c r="H143" i="5"/>
  <c r="I143" i="5" s="1"/>
  <c r="H144" i="5"/>
  <c r="I144" i="5" s="1"/>
  <c r="H145" i="5"/>
  <c r="I145" i="5" s="1"/>
  <c r="H146" i="5"/>
  <c r="I146" i="5" s="1"/>
  <c r="H147" i="5"/>
  <c r="I147" i="5" s="1"/>
  <c r="H148" i="5"/>
  <c r="I148" i="5" s="1"/>
  <c r="H149" i="5"/>
  <c r="I149" i="5" s="1"/>
  <c r="H150" i="5"/>
  <c r="I150" i="5" s="1"/>
  <c r="H151" i="5"/>
  <c r="I151" i="5" s="1"/>
  <c r="H152" i="5"/>
  <c r="I152" i="5" s="1"/>
  <c r="H153" i="5"/>
  <c r="I153" i="5" s="1"/>
  <c r="H154" i="5"/>
  <c r="I154" i="5" s="1"/>
  <c r="H155" i="5"/>
  <c r="I155" i="5" s="1"/>
  <c r="H156" i="5"/>
  <c r="I156" i="5" s="1"/>
  <c r="H157" i="5"/>
  <c r="I157" i="5" s="1"/>
  <c r="H158" i="5"/>
  <c r="I158" i="5" s="1"/>
  <c r="H159" i="5"/>
  <c r="I159" i="5" s="1"/>
  <c r="H160" i="5"/>
  <c r="I160" i="5" s="1"/>
  <c r="H161" i="5"/>
  <c r="I161" i="5" s="1"/>
  <c r="H162" i="5"/>
  <c r="I162" i="5" s="1"/>
  <c r="H163" i="5"/>
  <c r="I163" i="5" s="1"/>
  <c r="H164" i="5"/>
  <c r="I164" i="5" s="1"/>
  <c r="H165" i="5"/>
  <c r="I165" i="5" s="1"/>
  <c r="H166" i="5"/>
  <c r="I166" i="5" s="1"/>
  <c r="H167" i="5"/>
  <c r="I167" i="5" s="1"/>
  <c r="H168" i="5"/>
  <c r="I168" i="5" s="1"/>
  <c r="H169" i="5"/>
  <c r="I169" i="5" s="1"/>
  <c r="H170" i="5"/>
  <c r="I170" i="5" s="1"/>
  <c r="H171" i="5"/>
  <c r="I171" i="5" s="1"/>
  <c r="H172" i="5"/>
  <c r="I172" i="5" s="1"/>
  <c r="H173" i="5"/>
  <c r="I173" i="5" s="1"/>
  <c r="H174" i="5"/>
  <c r="I174" i="5" s="1"/>
  <c r="H175" i="5"/>
  <c r="I175" i="5" s="1"/>
  <c r="H176" i="5"/>
  <c r="I176" i="5" s="1"/>
  <c r="H177" i="5"/>
  <c r="I177" i="5" s="1"/>
  <c r="H178" i="5"/>
  <c r="I178" i="5" s="1"/>
  <c r="H179" i="5"/>
  <c r="I179" i="5" s="1"/>
  <c r="H180" i="5"/>
  <c r="I180" i="5" s="1"/>
  <c r="H181" i="5"/>
  <c r="I181" i="5" s="1"/>
  <c r="H182" i="5"/>
  <c r="I182" i="5" s="1"/>
  <c r="H183" i="5"/>
  <c r="I183" i="5" s="1"/>
  <c r="H184" i="5"/>
  <c r="I184" i="5" s="1"/>
  <c r="H185" i="5"/>
  <c r="I185" i="5" s="1"/>
  <c r="H186" i="5"/>
  <c r="I186" i="5" s="1"/>
  <c r="H187" i="5"/>
  <c r="I187" i="5" s="1"/>
  <c r="H188" i="5"/>
  <c r="I188" i="5" s="1"/>
  <c r="H189" i="5"/>
  <c r="I189" i="5" s="1"/>
  <c r="H190" i="5"/>
  <c r="I190" i="5" s="1"/>
  <c r="H191" i="5"/>
  <c r="I191" i="5" s="1"/>
  <c r="H192" i="5"/>
  <c r="I192" i="5" s="1"/>
  <c r="H193" i="5"/>
  <c r="I193" i="5" s="1"/>
  <c r="H194" i="5"/>
  <c r="I194" i="5" s="1"/>
  <c r="H195" i="5"/>
  <c r="I195" i="5" s="1"/>
  <c r="H196" i="5"/>
  <c r="I196" i="5" s="1"/>
  <c r="H197" i="5"/>
  <c r="I197" i="5" s="1"/>
  <c r="H198" i="5"/>
  <c r="I198" i="5" s="1"/>
  <c r="H199" i="5"/>
  <c r="I199" i="5" s="1"/>
  <c r="H200" i="5"/>
  <c r="I200" i="5" s="1"/>
  <c r="H201" i="5"/>
  <c r="I201" i="5" s="1"/>
  <c r="H202" i="5"/>
  <c r="I202" i="5" s="1"/>
  <c r="H203" i="5"/>
  <c r="I203" i="5" s="1"/>
  <c r="H204" i="5"/>
  <c r="I204" i="5" s="1"/>
  <c r="H205" i="5"/>
  <c r="I205" i="5" s="1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B200" i="5"/>
  <c r="B201" i="5"/>
  <c r="B202" i="5"/>
  <c r="B203" i="5"/>
  <c r="B204" i="5"/>
  <c r="B205" i="5"/>
  <c r="B206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J108" i="5"/>
  <c r="H108" i="5"/>
  <c r="I108" i="5" s="1"/>
  <c r="G108" i="5"/>
  <c r="F108" i="5"/>
  <c r="E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D108" i="5"/>
  <c r="C108" i="5"/>
  <c r="C97" i="5"/>
  <c r="C107" i="5"/>
  <c r="B118" i="5"/>
  <c r="B119" i="5"/>
  <c r="B120" i="5"/>
  <c r="B117" i="5"/>
  <c r="D104" i="5"/>
  <c r="D105" i="5"/>
  <c r="D107" i="5"/>
  <c r="B108" i="5"/>
  <c r="B109" i="5" l="1"/>
  <c r="B110" i="5"/>
  <c r="B111" i="5"/>
  <c r="B112" i="5"/>
  <c r="B113" i="5"/>
  <c r="B114" i="5"/>
  <c r="B115" i="5"/>
  <c r="B116" i="5"/>
  <c r="B106" i="5" l="1"/>
  <c r="B107" i="5"/>
  <c r="G106" i="5"/>
  <c r="J21" i="5" l="1"/>
  <c r="E133" i="4" l="1"/>
  <c r="F133" i="4"/>
  <c r="G133" i="4"/>
  <c r="E130" i="4"/>
  <c r="F130" i="4"/>
  <c r="G130" i="4"/>
  <c r="E131" i="4"/>
  <c r="F131" i="4"/>
  <c r="G131" i="4"/>
  <c r="E132" i="4"/>
  <c r="F132" i="4"/>
  <c r="G132" i="4"/>
  <c r="E129" i="4"/>
  <c r="F129" i="4"/>
  <c r="G129" i="4"/>
  <c r="E108" i="4"/>
  <c r="F108" i="4"/>
  <c r="G108" i="4"/>
  <c r="E109" i="4"/>
  <c r="F109" i="4"/>
  <c r="G109" i="4"/>
  <c r="E110" i="4"/>
  <c r="F110" i="4"/>
  <c r="G110" i="4"/>
  <c r="E111" i="4"/>
  <c r="F111" i="4"/>
  <c r="G111" i="4"/>
  <c r="E112" i="4"/>
  <c r="F112" i="4"/>
  <c r="G112" i="4"/>
  <c r="E113" i="4"/>
  <c r="F113" i="4"/>
  <c r="G113" i="4"/>
  <c r="E114" i="4"/>
  <c r="F114" i="4"/>
  <c r="G114" i="4"/>
  <c r="E115" i="4"/>
  <c r="F115" i="4"/>
  <c r="G115" i="4"/>
  <c r="E116" i="4"/>
  <c r="F116" i="4"/>
  <c r="G116" i="4"/>
  <c r="E117" i="4"/>
  <c r="F117" i="4"/>
  <c r="G117" i="4"/>
  <c r="E118" i="4"/>
  <c r="F118" i="4"/>
  <c r="G118" i="4"/>
  <c r="E119" i="4"/>
  <c r="F119" i="4"/>
  <c r="G119" i="4"/>
  <c r="E120" i="4"/>
  <c r="F120" i="4"/>
  <c r="G120" i="4"/>
  <c r="E121" i="4"/>
  <c r="F121" i="4"/>
  <c r="G121" i="4"/>
  <c r="E122" i="4"/>
  <c r="F122" i="4"/>
  <c r="G122" i="4"/>
  <c r="E123" i="4"/>
  <c r="F123" i="4"/>
  <c r="G123" i="4"/>
  <c r="E124" i="4"/>
  <c r="F124" i="4"/>
  <c r="G124" i="4"/>
  <c r="E125" i="4"/>
  <c r="F125" i="4"/>
  <c r="G125" i="4"/>
  <c r="E126" i="4"/>
  <c r="F126" i="4"/>
  <c r="G126" i="4"/>
  <c r="E127" i="4"/>
  <c r="F127" i="4"/>
  <c r="G127" i="4"/>
  <c r="E128" i="4"/>
  <c r="F128" i="4"/>
  <c r="G128" i="4"/>
  <c r="B60" i="5" l="1"/>
  <c r="C60" i="5"/>
  <c r="D60" i="5"/>
  <c r="E60" i="5"/>
  <c r="F60" i="5"/>
  <c r="G60" i="5"/>
  <c r="H60" i="5"/>
  <c r="I60" i="5" s="1"/>
  <c r="J60" i="5"/>
  <c r="B61" i="5"/>
  <c r="C61" i="5"/>
  <c r="D61" i="5"/>
  <c r="E61" i="5"/>
  <c r="F61" i="5"/>
  <c r="G61" i="5"/>
  <c r="H61" i="5"/>
  <c r="I61" i="5" s="1"/>
  <c r="J61" i="5"/>
  <c r="B62" i="5"/>
  <c r="C62" i="5"/>
  <c r="D62" i="5"/>
  <c r="E62" i="5"/>
  <c r="F62" i="5"/>
  <c r="G62" i="5"/>
  <c r="H62" i="5"/>
  <c r="I62" i="5" s="1"/>
  <c r="J62" i="5"/>
  <c r="B63" i="5"/>
  <c r="C63" i="5"/>
  <c r="D63" i="5"/>
  <c r="E63" i="5"/>
  <c r="F63" i="5"/>
  <c r="G63" i="5"/>
  <c r="H63" i="5"/>
  <c r="I63" i="5" s="1"/>
  <c r="J63" i="5"/>
  <c r="B64" i="5"/>
  <c r="C64" i="5"/>
  <c r="D64" i="5"/>
  <c r="E64" i="5"/>
  <c r="F64" i="5"/>
  <c r="G64" i="5"/>
  <c r="H64" i="5"/>
  <c r="I64" i="5" s="1"/>
  <c r="J64" i="5"/>
  <c r="B65" i="5"/>
  <c r="C65" i="5"/>
  <c r="D65" i="5"/>
  <c r="E65" i="5"/>
  <c r="F65" i="5"/>
  <c r="G65" i="5"/>
  <c r="H65" i="5"/>
  <c r="I65" i="5" s="1"/>
  <c r="J65" i="5"/>
  <c r="B99" i="5"/>
  <c r="C99" i="5"/>
  <c r="D99" i="5"/>
  <c r="E99" i="5"/>
  <c r="F99" i="5"/>
  <c r="G99" i="5"/>
  <c r="H99" i="5"/>
  <c r="I99" i="5" s="1"/>
  <c r="J99" i="5"/>
  <c r="B100" i="5"/>
  <c r="C100" i="5"/>
  <c r="D100" i="5"/>
  <c r="E100" i="5"/>
  <c r="F100" i="5"/>
  <c r="G100" i="5"/>
  <c r="H100" i="5"/>
  <c r="I100" i="5" s="1"/>
  <c r="J100" i="5"/>
  <c r="B101" i="5"/>
  <c r="C101" i="5"/>
  <c r="D101" i="5"/>
  <c r="E101" i="5"/>
  <c r="F101" i="5"/>
  <c r="G101" i="5"/>
  <c r="H101" i="5"/>
  <c r="I101" i="5" s="1"/>
  <c r="J101" i="5"/>
  <c r="B102" i="5"/>
  <c r="C102" i="5"/>
  <c r="D102" i="5"/>
  <c r="E102" i="5"/>
  <c r="F102" i="5"/>
  <c r="G102" i="5"/>
  <c r="H102" i="5"/>
  <c r="I102" i="5" s="1"/>
  <c r="J102" i="5"/>
  <c r="C106" i="5"/>
  <c r="D106" i="5"/>
  <c r="E106" i="5"/>
  <c r="F106" i="5"/>
  <c r="H106" i="5"/>
  <c r="I106" i="5" s="1"/>
  <c r="J106" i="5"/>
  <c r="B71" i="5"/>
  <c r="C71" i="5"/>
  <c r="D71" i="5"/>
  <c r="E71" i="5"/>
  <c r="F71" i="5"/>
  <c r="G71" i="5"/>
  <c r="H71" i="5"/>
  <c r="I71" i="5" s="1"/>
  <c r="J71" i="5"/>
  <c r="B90" i="5"/>
  <c r="C90" i="5"/>
  <c r="D90" i="5"/>
  <c r="E90" i="5"/>
  <c r="F90" i="5"/>
  <c r="G90" i="5"/>
  <c r="H90" i="5"/>
  <c r="I90" i="5" s="1"/>
  <c r="J90" i="5"/>
  <c r="B92" i="5"/>
  <c r="C92" i="5"/>
  <c r="D92" i="5"/>
  <c r="E92" i="5"/>
  <c r="F92" i="5"/>
  <c r="G92" i="5"/>
  <c r="H92" i="5"/>
  <c r="I92" i="5" s="1"/>
  <c r="J92" i="5"/>
  <c r="B95" i="5"/>
  <c r="C95" i="5"/>
  <c r="D95" i="5"/>
  <c r="E95" i="5"/>
  <c r="F95" i="5"/>
  <c r="G95" i="5"/>
  <c r="H95" i="5"/>
  <c r="I95" i="5" s="1"/>
  <c r="J95" i="5"/>
  <c r="B96" i="5"/>
  <c r="C96" i="5"/>
  <c r="D96" i="5"/>
  <c r="E96" i="5"/>
  <c r="F96" i="5"/>
  <c r="G96" i="5"/>
  <c r="H96" i="5"/>
  <c r="I96" i="5" s="1"/>
  <c r="J96" i="5"/>
  <c r="B98" i="5"/>
  <c r="C98" i="5"/>
  <c r="D98" i="5"/>
  <c r="E98" i="5"/>
  <c r="F98" i="5"/>
  <c r="G98" i="5"/>
  <c r="H98" i="5"/>
  <c r="I98" i="5" s="1"/>
  <c r="J98" i="5"/>
  <c r="B77" i="5"/>
  <c r="C77" i="5"/>
  <c r="D77" i="5"/>
  <c r="E77" i="5"/>
  <c r="F77" i="5"/>
  <c r="G77" i="5"/>
  <c r="H77" i="5"/>
  <c r="I77" i="5" s="1"/>
  <c r="J77" i="5"/>
  <c r="B78" i="5"/>
  <c r="C78" i="5"/>
  <c r="D78" i="5"/>
  <c r="E78" i="5"/>
  <c r="F78" i="5"/>
  <c r="G78" i="5"/>
  <c r="H78" i="5"/>
  <c r="I78" i="5" s="1"/>
  <c r="J78" i="5"/>
  <c r="B83" i="5"/>
  <c r="C83" i="5"/>
  <c r="D83" i="5"/>
  <c r="E83" i="5"/>
  <c r="F83" i="5"/>
  <c r="G83" i="5"/>
  <c r="H83" i="5"/>
  <c r="I83" i="5" s="1"/>
  <c r="J83" i="5"/>
  <c r="B84" i="5"/>
  <c r="C84" i="5"/>
  <c r="D84" i="5"/>
  <c r="E84" i="5"/>
  <c r="F84" i="5"/>
  <c r="G84" i="5"/>
  <c r="H84" i="5"/>
  <c r="I84" i="5" s="1"/>
  <c r="J84" i="5"/>
  <c r="B85" i="5"/>
  <c r="C85" i="5"/>
  <c r="D85" i="5"/>
  <c r="E85" i="5"/>
  <c r="F85" i="5"/>
  <c r="G85" i="5"/>
  <c r="H85" i="5"/>
  <c r="I85" i="5" s="1"/>
  <c r="J85" i="5"/>
  <c r="B86" i="5"/>
  <c r="C86" i="5"/>
  <c r="D86" i="5"/>
  <c r="E86" i="5"/>
  <c r="F86" i="5"/>
  <c r="G86" i="5"/>
  <c r="H86" i="5"/>
  <c r="I86" i="5" s="1"/>
  <c r="J86" i="5"/>
  <c r="B87" i="5"/>
  <c r="C87" i="5"/>
  <c r="D87" i="5"/>
  <c r="E87" i="5"/>
  <c r="F87" i="5"/>
  <c r="G87" i="5"/>
  <c r="H87" i="5"/>
  <c r="I87" i="5" s="1"/>
  <c r="J87" i="5"/>
  <c r="B66" i="5"/>
  <c r="C66" i="5"/>
  <c r="D66" i="5"/>
  <c r="E66" i="5"/>
  <c r="F66" i="5"/>
  <c r="G66" i="5"/>
  <c r="H66" i="5"/>
  <c r="I66" i="5" s="1"/>
  <c r="J66" i="5"/>
  <c r="B67" i="5"/>
  <c r="C67" i="5"/>
  <c r="D67" i="5"/>
  <c r="E67" i="5"/>
  <c r="F67" i="5"/>
  <c r="G67" i="5"/>
  <c r="H67" i="5"/>
  <c r="I67" i="5" s="1"/>
  <c r="J67" i="5"/>
  <c r="B68" i="5"/>
  <c r="C68" i="5"/>
  <c r="D68" i="5"/>
  <c r="E68" i="5"/>
  <c r="F68" i="5"/>
  <c r="G68" i="5"/>
  <c r="H68" i="5"/>
  <c r="I68" i="5" s="1"/>
  <c r="J68" i="5"/>
  <c r="B69" i="5"/>
  <c r="C69" i="5"/>
  <c r="D69" i="5"/>
  <c r="E69" i="5"/>
  <c r="F69" i="5"/>
  <c r="G69" i="5"/>
  <c r="H69" i="5"/>
  <c r="I69" i="5" s="1"/>
  <c r="J69" i="5"/>
  <c r="B70" i="5"/>
  <c r="C70" i="5"/>
  <c r="D70" i="5"/>
  <c r="E70" i="5"/>
  <c r="F70" i="5"/>
  <c r="G70" i="5"/>
  <c r="H70" i="5"/>
  <c r="I70" i="5" s="1"/>
  <c r="J70" i="5"/>
  <c r="B72" i="5"/>
  <c r="C72" i="5"/>
  <c r="D72" i="5"/>
  <c r="E72" i="5"/>
  <c r="F72" i="5"/>
  <c r="G72" i="5"/>
  <c r="H72" i="5"/>
  <c r="I72" i="5" s="1"/>
  <c r="J72" i="5"/>
  <c r="B73" i="5"/>
  <c r="C73" i="5"/>
  <c r="D73" i="5"/>
  <c r="E73" i="5"/>
  <c r="F73" i="5"/>
  <c r="G73" i="5"/>
  <c r="H73" i="5"/>
  <c r="I73" i="5" s="1"/>
  <c r="J73" i="5"/>
  <c r="B91" i="5"/>
  <c r="C91" i="5"/>
  <c r="D91" i="5"/>
  <c r="E91" i="5"/>
  <c r="F91" i="5"/>
  <c r="G91" i="5"/>
  <c r="H91" i="5"/>
  <c r="I91" i="5" s="1"/>
  <c r="J91" i="5"/>
  <c r="B74" i="5"/>
  <c r="C74" i="5"/>
  <c r="D74" i="5"/>
  <c r="E74" i="5"/>
  <c r="F74" i="5"/>
  <c r="G74" i="5"/>
  <c r="H74" i="5"/>
  <c r="I74" i="5" s="1"/>
  <c r="J74" i="5"/>
  <c r="B93" i="5"/>
  <c r="C93" i="5"/>
  <c r="D93" i="5"/>
  <c r="E93" i="5"/>
  <c r="F93" i="5"/>
  <c r="G93" i="5"/>
  <c r="H93" i="5"/>
  <c r="I93" i="5" s="1"/>
  <c r="J93" i="5"/>
  <c r="B94" i="5"/>
  <c r="C94" i="5"/>
  <c r="D94" i="5"/>
  <c r="E94" i="5"/>
  <c r="F94" i="5"/>
  <c r="G94" i="5"/>
  <c r="H94" i="5"/>
  <c r="I94" i="5" s="1"/>
  <c r="J94" i="5"/>
  <c r="B75" i="5"/>
  <c r="C75" i="5"/>
  <c r="D75" i="5"/>
  <c r="E75" i="5"/>
  <c r="F75" i="5"/>
  <c r="G75" i="5"/>
  <c r="H75" i="5"/>
  <c r="I75" i="5" s="1"/>
  <c r="J75" i="5"/>
  <c r="B76" i="5"/>
  <c r="C76" i="5"/>
  <c r="D76" i="5"/>
  <c r="E76" i="5"/>
  <c r="F76" i="5"/>
  <c r="G76" i="5"/>
  <c r="H76" i="5"/>
  <c r="I76" i="5" s="1"/>
  <c r="J76" i="5"/>
  <c r="B97" i="5"/>
  <c r="D97" i="5"/>
  <c r="E97" i="5"/>
  <c r="F97" i="5"/>
  <c r="G97" i="5"/>
  <c r="H97" i="5"/>
  <c r="I97" i="5" s="1"/>
  <c r="J97" i="5"/>
  <c r="B79" i="5"/>
  <c r="C79" i="5"/>
  <c r="D79" i="5"/>
  <c r="E79" i="5"/>
  <c r="F79" i="5"/>
  <c r="G79" i="5"/>
  <c r="H79" i="5"/>
  <c r="I79" i="5" s="1"/>
  <c r="J79" i="5"/>
  <c r="B80" i="5"/>
  <c r="C80" i="5"/>
  <c r="D80" i="5"/>
  <c r="E80" i="5"/>
  <c r="F80" i="5"/>
  <c r="G80" i="5"/>
  <c r="H80" i="5"/>
  <c r="I80" i="5" s="1"/>
  <c r="J80" i="5"/>
  <c r="B81" i="5"/>
  <c r="C81" i="5"/>
  <c r="D81" i="5"/>
  <c r="E81" i="5"/>
  <c r="F81" i="5"/>
  <c r="G81" i="5"/>
  <c r="H81" i="5"/>
  <c r="I81" i="5" s="1"/>
  <c r="J81" i="5"/>
  <c r="B88" i="5"/>
  <c r="C88" i="5"/>
  <c r="D88" i="5"/>
  <c r="E88" i="5"/>
  <c r="F88" i="5"/>
  <c r="G88" i="5"/>
  <c r="H88" i="5"/>
  <c r="I88" i="5" s="1"/>
  <c r="J88" i="5"/>
  <c r="B89" i="5"/>
  <c r="C89" i="5"/>
  <c r="D89" i="5"/>
  <c r="E89" i="5"/>
  <c r="F89" i="5"/>
  <c r="G89" i="5"/>
  <c r="H89" i="5"/>
  <c r="I89" i="5" s="1"/>
  <c r="J89" i="5"/>
  <c r="B103" i="5"/>
  <c r="C103" i="5"/>
  <c r="D103" i="5"/>
  <c r="E103" i="5"/>
  <c r="F103" i="5"/>
  <c r="G103" i="5"/>
  <c r="H103" i="5"/>
  <c r="I103" i="5" s="1"/>
  <c r="J103" i="5"/>
  <c r="B104" i="5"/>
  <c r="C104" i="5"/>
  <c r="E104" i="5"/>
  <c r="F104" i="5"/>
  <c r="G104" i="5"/>
  <c r="H104" i="5"/>
  <c r="I104" i="5" s="1"/>
  <c r="J104" i="5"/>
  <c r="B105" i="5"/>
  <c r="C105" i="5"/>
  <c r="E105" i="5"/>
  <c r="F105" i="5"/>
  <c r="G105" i="5"/>
  <c r="H105" i="5"/>
  <c r="I105" i="5" s="1"/>
  <c r="J105" i="5"/>
  <c r="B82" i="5"/>
  <c r="C82" i="5"/>
  <c r="D82" i="5"/>
  <c r="E82" i="5"/>
  <c r="F82" i="5"/>
  <c r="G82" i="5"/>
  <c r="H82" i="5"/>
  <c r="I82" i="5" s="1"/>
  <c r="J82" i="5"/>
  <c r="E107" i="5"/>
  <c r="F107" i="5"/>
  <c r="G107" i="5"/>
  <c r="H107" i="5"/>
  <c r="I107" i="5" s="1"/>
  <c r="J107" i="5"/>
  <c r="E62" i="4" l="1"/>
  <c r="F62" i="4"/>
  <c r="G62" i="4"/>
  <c r="E63" i="4"/>
  <c r="F63" i="4"/>
  <c r="G63" i="4"/>
  <c r="E64" i="4"/>
  <c r="F64" i="4"/>
  <c r="G64" i="4"/>
  <c r="E65" i="4"/>
  <c r="F65" i="4"/>
  <c r="G65" i="4"/>
  <c r="E66" i="4"/>
  <c r="F66" i="4"/>
  <c r="G66" i="4"/>
  <c r="E67" i="4"/>
  <c r="F67" i="4"/>
  <c r="G67" i="4"/>
  <c r="E68" i="4"/>
  <c r="F68" i="4"/>
  <c r="G68" i="4"/>
  <c r="E69" i="4"/>
  <c r="F69" i="4"/>
  <c r="G69" i="4"/>
  <c r="E70" i="4"/>
  <c r="F70" i="4"/>
  <c r="G70" i="4"/>
  <c r="E71" i="4"/>
  <c r="F71" i="4"/>
  <c r="G71" i="4"/>
  <c r="E72" i="4"/>
  <c r="F72" i="4"/>
  <c r="G72" i="4"/>
  <c r="E73" i="4"/>
  <c r="F73" i="4"/>
  <c r="G73" i="4"/>
  <c r="E74" i="4"/>
  <c r="F74" i="4"/>
  <c r="G74" i="4"/>
  <c r="E75" i="4"/>
  <c r="F75" i="4"/>
  <c r="G75" i="4"/>
  <c r="E76" i="4"/>
  <c r="F76" i="4"/>
  <c r="G76" i="4"/>
  <c r="E77" i="4"/>
  <c r="F77" i="4"/>
  <c r="G77" i="4"/>
  <c r="E78" i="4"/>
  <c r="F78" i="4"/>
  <c r="G78" i="4"/>
  <c r="E79" i="4"/>
  <c r="F79" i="4"/>
  <c r="G79" i="4"/>
  <c r="E80" i="4"/>
  <c r="F80" i="4"/>
  <c r="G80" i="4"/>
  <c r="E81" i="4"/>
  <c r="F81" i="4"/>
  <c r="G81" i="4"/>
  <c r="E82" i="4"/>
  <c r="F82" i="4"/>
  <c r="G82" i="4"/>
  <c r="E83" i="4"/>
  <c r="F83" i="4"/>
  <c r="G83" i="4"/>
  <c r="E84" i="4"/>
  <c r="F84" i="4"/>
  <c r="G84" i="4"/>
  <c r="E85" i="4"/>
  <c r="F85" i="4"/>
  <c r="G85" i="4"/>
  <c r="E86" i="4"/>
  <c r="F86" i="4"/>
  <c r="G86" i="4"/>
  <c r="E87" i="4"/>
  <c r="F87" i="4"/>
  <c r="G87" i="4"/>
  <c r="E88" i="4"/>
  <c r="F88" i="4"/>
  <c r="G88" i="4"/>
  <c r="E89" i="4"/>
  <c r="F89" i="4"/>
  <c r="G89" i="4"/>
  <c r="E90" i="4"/>
  <c r="F90" i="4"/>
  <c r="G90" i="4"/>
  <c r="E91" i="4"/>
  <c r="F91" i="4"/>
  <c r="G91" i="4"/>
  <c r="E92" i="4"/>
  <c r="F92" i="4"/>
  <c r="G92" i="4"/>
  <c r="E93" i="4"/>
  <c r="F93" i="4"/>
  <c r="G93" i="4"/>
  <c r="E94" i="4"/>
  <c r="F94" i="4"/>
  <c r="G94" i="4"/>
  <c r="E95" i="4"/>
  <c r="F95" i="4"/>
  <c r="G95" i="4"/>
  <c r="E96" i="4"/>
  <c r="F96" i="4"/>
  <c r="G96" i="4"/>
  <c r="E97" i="4"/>
  <c r="F97" i="4"/>
  <c r="G97" i="4"/>
  <c r="E98" i="4"/>
  <c r="F98" i="4"/>
  <c r="G98" i="4"/>
  <c r="E99" i="4"/>
  <c r="F99" i="4"/>
  <c r="G99" i="4"/>
  <c r="E100" i="4"/>
  <c r="F100" i="4"/>
  <c r="G100" i="4"/>
  <c r="E101" i="4"/>
  <c r="F101" i="4"/>
  <c r="G101" i="4"/>
  <c r="E102" i="4"/>
  <c r="F102" i="4"/>
  <c r="G102" i="4"/>
  <c r="E103" i="4"/>
  <c r="F103" i="4"/>
  <c r="G103" i="4"/>
  <c r="E104" i="4"/>
  <c r="F104" i="4"/>
  <c r="G104" i="4"/>
  <c r="E105" i="4"/>
  <c r="F105" i="4"/>
  <c r="G105" i="4"/>
  <c r="E106" i="4"/>
  <c r="F106" i="4"/>
  <c r="G106" i="4"/>
  <c r="E107" i="4"/>
  <c r="F107" i="4"/>
  <c r="G107" i="4"/>
  <c r="E61" i="4" l="1"/>
  <c r="F61" i="4"/>
  <c r="G61" i="4"/>
  <c r="B4" i="5" l="1"/>
  <c r="C4" i="5"/>
  <c r="D4" i="5"/>
  <c r="E4" i="5"/>
  <c r="F4" i="5"/>
  <c r="G4" i="5"/>
  <c r="H4" i="5"/>
  <c r="I4" i="5" s="1"/>
  <c r="J4" i="5"/>
  <c r="B5" i="5"/>
  <c r="C5" i="5"/>
  <c r="D5" i="5"/>
  <c r="E5" i="5"/>
  <c r="F5" i="5"/>
  <c r="G5" i="5"/>
  <c r="H5" i="5"/>
  <c r="I5" i="5" s="1"/>
  <c r="J5" i="5"/>
  <c r="B6" i="5"/>
  <c r="C6" i="5"/>
  <c r="D6" i="5"/>
  <c r="E6" i="5"/>
  <c r="F6" i="5"/>
  <c r="G6" i="5"/>
  <c r="H6" i="5"/>
  <c r="I6" i="5" s="1"/>
  <c r="J6" i="5"/>
  <c r="B7" i="5"/>
  <c r="C7" i="5"/>
  <c r="D7" i="5"/>
  <c r="E7" i="5"/>
  <c r="F7" i="5"/>
  <c r="G7" i="5"/>
  <c r="H7" i="5"/>
  <c r="I7" i="5" s="1"/>
  <c r="J7" i="5"/>
  <c r="B8" i="5"/>
  <c r="C8" i="5"/>
  <c r="D8" i="5"/>
  <c r="E8" i="5"/>
  <c r="F8" i="5"/>
  <c r="G8" i="5"/>
  <c r="H8" i="5"/>
  <c r="I8" i="5" s="1"/>
  <c r="J8" i="5"/>
  <c r="B9" i="5"/>
  <c r="C9" i="5"/>
  <c r="D9" i="5"/>
  <c r="E9" i="5"/>
  <c r="F9" i="5"/>
  <c r="G9" i="5"/>
  <c r="H9" i="5"/>
  <c r="I9" i="5" s="1"/>
  <c r="J9" i="5"/>
  <c r="B10" i="5"/>
  <c r="C10" i="5"/>
  <c r="D10" i="5"/>
  <c r="E10" i="5"/>
  <c r="F10" i="5"/>
  <c r="G10" i="5"/>
  <c r="H10" i="5"/>
  <c r="I10" i="5" s="1"/>
  <c r="J10" i="5"/>
  <c r="B11" i="5"/>
  <c r="C11" i="5"/>
  <c r="D11" i="5"/>
  <c r="E11" i="5"/>
  <c r="F11" i="5"/>
  <c r="G11" i="5"/>
  <c r="H11" i="5"/>
  <c r="I11" i="5" s="1"/>
  <c r="J11" i="5"/>
  <c r="B12" i="5"/>
  <c r="C12" i="5"/>
  <c r="D12" i="5"/>
  <c r="E12" i="5"/>
  <c r="F12" i="5"/>
  <c r="G12" i="5"/>
  <c r="H12" i="5"/>
  <c r="I12" i="5" s="1"/>
  <c r="J12" i="5"/>
  <c r="B13" i="5"/>
  <c r="C13" i="5"/>
  <c r="D13" i="5"/>
  <c r="E13" i="5"/>
  <c r="F13" i="5"/>
  <c r="G13" i="5"/>
  <c r="H13" i="5"/>
  <c r="I13" i="5" s="1"/>
  <c r="J13" i="5"/>
  <c r="B14" i="5"/>
  <c r="C14" i="5"/>
  <c r="D14" i="5"/>
  <c r="E14" i="5"/>
  <c r="F14" i="5"/>
  <c r="G14" i="5"/>
  <c r="H14" i="5"/>
  <c r="I14" i="5" s="1"/>
  <c r="J14" i="5"/>
  <c r="B15" i="5"/>
  <c r="C15" i="5"/>
  <c r="D15" i="5"/>
  <c r="E15" i="5"/>
  <c r="F15" i="5"/>
  <c r="G15" i="5"/>
  <c r="H15" i="5"/>
  <c r="I15" i="5" s="1"/>
  <c r="J15" i="5"/>
  <c r="B16" i="5"/>
  <c r="C16" i="5"/>
  <c r="D16" i="5"/>
  <c r="E16" i="5"/>
  <c r="F16" i="5"/>
  <c r="G16" i="5"/>
  <c r="H16" i="5"/>
  <c r="I16" i="5" s="1"/>
  <c r="J16" i="5"/>
  <c r="B17" i="5"/>
  <c r="C17" i="5"/>
  <c r="D17" i="5"/>
  <c r="E17" i="5"/>
  <c r="F17" i="5"/>
  <c r="G17" i="5"/>
  <c r="H17" i="5"/>
  <c r="I17" i="5" s="1"/>
  <c r="J17" i="5"/>
  <c r="B18" i="5"/>
  <c r="C18" i="5"/>
  <c r="D18" i="5"/>
  <c r="E18" i="5"/>
  <c r="F18" i="5"/>
  <c r="G18" i="5"/>
  <c r="H18" i="5"/>
  <c r="I18" i="5" s="1"/>
  <c r="J18" i="5"/>
  <c r="B19" i="5"/>
  <c r="C19" i="5"/>
  <c r="D19" i="5"/>
  <c r="E19" i="5"/>
  <c r="F19" i="5"/>
  <c r="G19" i="5"/>
  <c r="H19" i="5"/>
  <c r="I19" i="5" s="1"/>
  <c r="J19" i="5"/>
  <c r="B20" i="5"/>
  <c r="C20" i="5"/>
  <c r="D20" i="5"/>
  <c r="E20" i="5"/>
  <c r="F20" i="5"/>
  <c r="G20" i="5"/>
  <c r="H20" i="5"/>
  <c r="I20" i="5" s="1"/>
  <c r="J20" i="5"/>
  <c r="B21" i="5"/>
  <c r="C21" i="5"/>
  <c r="D21" i="5"/>
  <c r="E21" i="5"/>
  <c r="F21" i="5"/>
  <c r="G21" i="5"/>
  <c r="H21" i="5"/>
  <c r="I21" i="5" s="1"/>
  <c r="B22" i="5"/>
  <c r="C22" i="5"/>
  <c r="D22" i="5"/>
  <c r="E22" i="5"/>
  <c r="F22" i="5"/>
  <c r="G22" i="5"/>
  <c r="H22" i="5"/>
  <c r="I22" i="5" s="1"/>
  <c r="J22" i="5"/>
  <c r="B23" i="5"/>
  <c r="C23" i="5"/>
  <c r="D23" i="5"/>
  <c r="E23" i="5"/>
  <c r="F23" i="5"/>
  <c r="G23" i="5"/>
  <c r="H23" i="5"/>
  <c r="I23" i="5" s="1"/>
  <c r="J23" i="5"/>
  <c r="B24" i="5"/>
  <c r="C24" i="5"/>
  <c r="D24" i="5"/>
  <c r="E24" i="5"/>
  <c r="F24" i="5"/>
  <c r="G24" i="5"/>
  <c r="H24" i="5"/>
  <c r="I24" i="5" s="1"/>
  <c r="J24" i="5"/>
  <c r="B25" i="5"/>
  <c r="C25" i="5"/>
  <c r="D25" i="5"/>
  <c r="E25" i="5"/>
  <c r="F25" i="5"/>
  <c r="G25" i="5"/>
  <c r="H25" i="5"/>
  <c r="I25" i="5" s="1"/>
  <c r="J25" i="5"/>
  <c r="B26" i="5"/>
  <c r="C26" i="5"/>
  <c r="D26" i="5"/>
  <c r="E26" i="5"/>
  <c r="F26" i="5"/>
  <c r="G26" i="5"/>
  <c r="H26" i="5"/>
  <c r="I26" i="5" s="1"/>
  <c r="J26" i="5"/>
  <c r="B27" i="5"/>
  <c r="C27" i="5"/>
  <c r="D27" i="5"/>
  <c r="E27" i="5"/>
  <c r="F27" i="5"/>
  <c r="G27" i="5"/>
  <c r="H27" i="5"/>
  <c r="I27" i="5" s="1"/>
  <c r="J27" i="5"/>
  <c r="B28" i="5"/>
  <c r="C28" i="5"/>
  <c r="D28" i="5"/>
  <c r="E28" i="5"/>
  <c r="F28" i="5"/>
  <c r="G28" i="5"/>
  <c r="H28" i="5"/>
  <c r="I28" i="5" s="1"/>
  <c r="J28" i="5"/>
  <c r="B29" i="5"/>
  <c r="C29" i="5"/>
  <c r="D29" i="5"/>
  <c r="E29" i="5"/>
  <c r="F29" i="5"/>
  <c r="G29" i="5"/>
  <c r="H29" i="5"/>
  <c r="I29" i="5" s="1"/>
  <c r="J29" i="5"/>
  <c r="B30" i="5"/>
  <c r="C30" i="5"/>
  <c r="D30" i="5"/>
  <c r="E30" i="5"/>
  <c r="F30" i="5"/>
  <c r="G30" i="5"/>
  <c r="H30" i="5"/>
  <c r="I30" i="5" s="1"/>
  <c r="J30" i="5"/>
  <c r="B31" i="5"/>
  <c r="C31" i="5"/>
  <c r="D31" i="5"/>
  <c r="E31" i="5"/>
  <c r="F31" i="5"/>
  <c r="G31" i="5"/>
  <c r="H31" i="5"/>
  <c r="I31" i="5" s="1"/>
  <c r="J31" i="5"/>
  <c r="B32" i="5"/>
  <c r="C32" i="5"/>
  <c r="D32" i="5"/>
  <c r="E32" i="5"/>
  <c r="F32" i="5"/>
  <c r="G32" i="5"/>
  <c r="H32" i="5"/>
  <c r="I32" i="5" s="1"/>
  <c r="J32" i="5"/>
  <c r="B33" i="5"/>
  <c r="C33" i="5"/>
  <c r="D33" i="5"/>
  <c r="E33" i="5"/>
  <c r="F33" i="5"/>
  <c r="G33" i="5"/>
  <c r="H33" i="5"/>
  <c r="I33" i="5" s="1"/>
  <c r="J33" i="5"/>
  <c r="B34" i="5"/>
  <c r="C34" i="5"/>
  <c r="D34" i="5"/>
  <c r="E34" i="5"/>
  <c r="F34" i="5"/>
  <c r="G34" i="5"/>
  <c r="H34" i="5"/>
  <c r="I34" i="5" s="1"/>
  <c r="J34" i="5"/>
  <c r="B35" i="5"/>
  <c r="C35" i="5"/>
  <c r="D35" i="5"/>
  <c r="E35" i="5"/>
  <c r="F35" i="5"/>
  <c r="G35" i="5"/>
  <c r="H35" i="5"/>
  <c r="I35" i="5" s="1"/>
  <c r="J35" i="5"/>
  <c r="B36" i="5"/>
  <c r="C36" i="5"/>
  <c r="D36" i="5"/>
  <c r="E36" i="5"/>
  <c r="F36" i="5"/>
  <c r="G36" i="5"/>
  <c r="H36" i="5"/>
  <c r="I36" i="5" s="1"/>
  <c r="J36" i="5"/>
  <c r="B37" i="5"/>
  <c r="C37" i="5"/>
  <c r="D37" i="5"/>
  <c r="E37" i="5"/>
  <c r="F37" i="5"/>
  <c r="G37" i="5"/>
  <c r="H37" i="5"/>
  <c r="I37" i="5" s="1"/>
  <c r="J37" i="5"/>
  <c r="B38" i="5"/>
  <c r="C38" i="5"/>
  <c r="D38" i="5"/>
  <c r="E38" i="5"/>
  <c r="F38" i="5"/>
  <c r="G38" i="5"/>
  <c r="H38" i="5"/>
  <c r="I38" i="5" s="1"/>
  <c r="J38" i="5"/>
  <c r="B39" i="5"/>
  <c r="C39" i="5"/>
  <c r="D39" i="5"/>
  <c r="E39" i="5"/>
  <c r="F39" i="5"/>
  <c r="G39" i="5"/>
  <c r="H39" i="5"/>
  <c r="I39" i="5" s="1"/>
  <c r="J39" i="5"/>
  <c r="B40" i="5"/>
  <c r="C40" i="5"/>
  <c r="D40" i="5"/>
  <c r="E40" i="5"/>
  <c r="F40" i="5"/>
  <c r="G40" i="5"/>
  <c r="H40" i="5"/>
  <c r="I40" i="5" s="1"/>
  <c r="J40" i="5"/>
  <c r="B41" i="5"/>
  <c r="C41" i="5"/>
  <c r="D41" i="5"/>
  <c r="E41" i="5"/>
  <c r="F41" i="5"/>
  <c r="G41" i="5"/>
  <c r="H41" i="5"/>
  <c r="I41" i="5" s="1"/>
  <c r="J41" i="5"/>
  <c r="B42" i="5"/>
  <c r="C42" i="5"/>
  <c r="D42" i="5"/>
  <c r="E42" i="5"/>
  <c r="F42" i="5"/>
  <c r="G42" i="5"/>
  <c r="H42" i="5"/>
  <c r="I42" i="5" s="1"/>
  <c r="J42" i="5"/>
  <c r="B43" i="5"/>
  <c r="C43" i="5"/>
  <c r="D43" i="5"/>
  <c r="E43" i="5"/>
  <c r="F43" i="5"/>
  <c r="G43" i="5"/>
  <c r="H43" i="5"/>
  <c r="I43" i="5" s="1"/>
  <c r="J43" i="5"/>
  <c r="B44" i="5"/>
  <c r="C44" i="5"/>
  <c r="D44" i="5"/>
  <c r="E44" i="5"/>
  <c r="F44" i="5"/>
  <c r="G44" i="5"/>
  <c r="H44" i="5"/>
  <c r="I44" i="5" s="1"/>
  <c r="J44" i="5"/>
  <c r="B45" i="5"/>
  <c r="C45" i="5"/>
  <c r="D45" i="5"/>
  <c r="E45" i="5"/>
  <c r="F45" i="5"/>
  <c r="G45" i="5"/>
  <c r="H45" i="5"/>
  <c r="I45" i="5" s="1"/>
  <c r="J45" i="5"/>
  <c r="B46" i="5"/>
  <c r="C46" i="5"/>
  <c r="D46" i="5"/>
  <c r="E46" i="5"/>
  <c r="F46" i="5"/>
  <c r="G46" i="5"/>
  <c r="H46" i="5"/>
  <c r="I46" i="5" s="1"/>
  <c r="J46" i="5"/>
  <c r="B47" i="5"/>
  <c r="C47" i="5"/>
  <c r="D47" i="5"/>
  <c r="E47" i="5"/>
  <c r="F47" i="5"/>
  <c r="G47" i="5"/>
  <c r="H47" i="5"/>
  <c r="I47" i="5" s="1"/>
  <c r="J47" i="5"/>
  <c r="B48" i="5"/>
  <c r="C48" i="5"/>
  <c r="D48" i="5"/>
  <c r="E48" i="5"/>
  <c r="F48" i="5"/>
  <c r="G48" i="5"/>
  <c r="H48" i="5"/>
  <c r="I48" i="5" s="1"/>
  <c r="J48" i="5"/>
  <c r="B49" i="5"/>
  <c r="C49" i="5"/>
  <c r="D49" i="5"/>
  <c r="E49" i="5"/>
  <c r="F49" i="5"/>
  <c r="G49" i="5"/>
  <c r="H49" i="5"/>
  <c r="I49" i="5" s="1"/>
  <c r="J49" i="5"/>
  <c r="B50" i="5"/>
  <c r="C50" i="5"/>
  <c r="D50" i="5"/>
  <c r="E50" i="5"/>
  <c r="F50" i="5"/>
  <c r="G50" i="5"/>
  <c r="H50" i="5"/>
  <c r="I50" i="5" s="1"/>
  <c r="J50" i="5"/>
  <c r="B51" i="5"/>
  <c r="C51" i="5"/>
  <c r="D51" i="5"/>
  <c r="E51" i="5"/>
  <c r="F51" i="5"/>
  <c r="G51" i="5"/>
  <c r="H51" i="5"/>
  <c r="I51" i="5" s="1"/>
  <c r="J51" i="5"/>
  <c r="B52" i="5"/>
  <c r="C52" i="5"/>
  <c r="D52" i="5"/>
  <c r="E52" i="5"/>
  <c r="F52" i="5"/>
  <c r="G52" i="5"/>
  <c r="H52" i="5"/>
  <c r="I52" i="5" s="1"/>
  <c r="J52" i="5"/>
  <c r="B53" i="5"/>
  <c r="C53" i="5"/>
  <c r="D53" i="5"/>
  <c r="E53" i="5"/>
  <c r="F53" i="5"/>
  <c r="G53" i="5"/>
  <c r="H53" i="5"/>
  <c r="I53" i="5" s="1"/>
  <c r="J53" i="5"/>
  <c r="B54" i="5"/>
  <c r="C54" i="5"/>
  <c r="D54" i="5"/>
  <c r="E54" i="5"/>
  <c r="F54" i="5"/>
  <c r="G54" i="5"/>
  <c r="H54" i="5"/>
  <c r="I54" i="5" s="1"/>
  <c r="J54" i="5"/>
  <c r="B55" i="5"/>
  <c r="C55" i="5"/>
  <c r="D55" i="5"/>
  <c r="E55" i="5"/>
  <c r="F55" i="5"/>
  <c r="G55" i="5"/>
  <c r="H55" i="5"/>
  <c r="I55" i="5" s="1"/>
  <c r="J55" i="5"/>
  <c r="B56" i="5"/>
  <c r="C56" i="5"/>
  <c r="D56" i="5"/>
  <c r="E56" i="5"/>
  <c r="F56" i="5"/>
  <c r="G56" i="5"/>
  <c r="H56" i="5"/>
  <c r="I56" i="5" s="1"/>
  <c r="J56" i="5"/>
  <c r="B57" i="5"/>
  <c r="C57" i="5"/>
  <c r="D57" i="5"/>
  <c r="E57" i="5"/>
  <c r="F57" i="5"/>
  <c r="G57" i="5"/>
  <c r="H57" i="5"/>
  <c r="I57" i="5" s="1"/>
  <c r="J57" i="5"/>
  <c r="B58" i="5"/>
  <c r="C58" i="5"/>
  <c r="D58" i="5"/>
  <c r="E58" i="5"/>
  <c r="F58" i="5"/>
  <c r="G58" i="5"/>
  <c r="H58" i="5"/>
  <c r="I58" i="5" s="1"/>
  <c r="J58" i="5"/>
  <c r="B59" i="5"/>
  <c r="C59" i="5"/>
  <c r="D59" i="5"/>
  <c r="E59" i="5"/>
  <c r="F59" i="5"/>
  <c r="G59" i="5"/>
  <c r="H59" i="5"/>
  <c r="I59" i="5" s="1"/>
  <c r="J59" i="5"/>
  <c r="E54" i="4" l="1"/>
  <c r="F54" i="4"/>
  <c r="G54" i="4"/>
  <c r="E55" i="4"/>
  <c r="F55" i="4"/>
  <c r="G55" i="4"/>
  <c r="E56" i="4"/>
  <c r="F56" i="4"/>
  <c r="G56" i="4"/>
  <c r="E57" i="4"/>
  <c r="F57" i="4"/>
  <c r="G57" i="4"/>
  <c r="E58" i="4"/>
  <c r="F58" i="4"/>
  <c r="G58" i="4"/>
  <c r="E59" i="4"/>
  <c r="F59" i="4"/>
  <c r="G59" i="4"/>
  <c r="E60" i="4"/>
  <c r="F60" i="4"/>
  <c r="G60" i="4"/>
  <c r="E18" i="4" l="1"/>
  <c r="F18" i="4"/>
  <c r="G18" i="4"/>
  <c r="E19" i="4"/>
  <c r="F19" i="4"/>
  <c r="G19" i="4"/>
  <c r="E20" i="4"/>
  <c r="F20" i="4"/>
  <c r="G20" i="4"/>
  <c r="E21" i="4"/>
  <c r="F21" i="4"/>
  <c r="G21" i="4"/>
  <c r="E22" i="4"/>
  <c r="F22" i="4"/>
  <c r="G22" i="4"/>
  <c r="E23" i="4"/>
  <c r="F23" i="4"/>
  <c r="G23" i="4"/>
  <c r="E24" i="4"/>
  <c r="F24" i="4"/>
  <c r="G24" i="4"/>
  <c r="E25" i="4"/>
  <c r="F25" i="4"/>
  <c r="G25" i="4"/>
  <c r="E26" i="4"/>
  <c r="F26" i="4"/>
  <c r="G26" i="4"/>
  <c r="E27" i="4"/>
  <c r="F27" i="4"/>
  <c r="G27" i="4"/>
  <c r="E28" i="4"/>
  <c r="F28" i="4"/>
  <c r="G28" i="4"/>
  <c r="E29" i="4"/>
  <c r="F29" i="4"/>
  <c r="G29" i="4"/>
  <c r="E30" i="4"/>
  <c r="F30" i="4"/>
  <c r="G30" i="4"/>
  <c r="E31" i="4"/>
  <c r="F31" i="4"/>
  <c r="G31" i="4"/>
  <c r="E32" i="4"/>
  <c r="F32" i="4"/>
  <c r="G32" i="4"/>
  <c r="E33" i="4"/>
  <c r="F33" i="4"/>
  <c r="G33" i="4"/>
  <c r="E34" i="4"/>
  <c r="F34" i="4"/>
  <c r="G34" i="4"/>
  <c r="E35" i="4"/>
  <c r="F35" i="4"/>
  <c r="G35" i="4"/>
  <c r="E36" i="4"/>
  <c r="F36" i="4"/>
  <c r="G36" i="4"/>
  <c r="E37" i="4"/>
  <c r="F37" i="4"/>
  <c r="G37" i="4"/>
  <c r="E38" i="4"/>
  <c r="F38" i="4"/>
  <c r="G38" i="4"/>
  <c r="E39" i="4"/>
  <c r="F39" i="4"/>
  <c r="G39" i="4"/>
  <c r="E40" i="4"/>
  <c r="F40" i="4"/>
  <c r="G40" i="4"/>
  <c r="E41" i="4"/>
  <c r="F41" i="4"/>
  <c r="G41" i="4"/>
  <c r="E42" i="4"/>
  <c r="F42" i="4"/>
  <c r="G42" i="4"/>
  <c r="E43" i="4"/>
  <c r="F43" i="4"/>
  <c r="G43" i="4"/>
  <c r="E44" i="4"/>
  <c r="F44" i="4"/>
  <c r="G44" i="4"/>
  <c r="E45" i="4"/>
  <c r="F45" i="4"/>
  <c r="G45" i="4"/>
  <c r="E46" i="4"/>
  <c r="F46" i="4"/>
  <c r="G46" i="4"/>
  <c r="E47" i="4"/>
  <c r="F47" i="4"/>
  <c r="G47" i="4"/>
  <c r="E48" i="4"/>
  <c r="F48" i="4"/>
  <c r="G48" i="4"/>
  <c r="E49" i="4"/>
  <c r="F49" i="4"/>
  <c r="G49" i="4"/>
  <c r="E50" i="4"/>
  <c r="F50" i="4"/>
  <c r="G50" i="4"/>
  <c r="E51" i="4"/>
  <c r="F51" i="4"/>
  <c r="G51" i="4"/>
  <c r="E52" i="4"/>
  <c r="F52" i="4"/>
  <c r="G52" i="4"/>
  <c r="E53" i="4"/>
  <c r="F53" i="4"/>
  <c r="G53" i="4"/>
  <c r="F8" i="4" l="1"/>
  <c r="F9" i="4"/>
  <c r="F10" i="4"/>
  <c r="F3" i="4"/>
  <c r="F4" i="4"/>
  <c r="F5" i="4"/>
  <c r="F6" i="4"/>
  <c r="F11" i="4"/>
  <c r="F12" i="4"/>
  <c r="F13" i="4"/>
  <c r="F14" i="4"/>
  <c r="F15" i="4"/>
  <c r="F16" i="4"/>
  <c r="F17" i="4"/>
  <c r="F7" i="4"/>
  <c r="E16" i="4" l="1"/>
  <c r="G16" i="4"/>
  <c r="E17" i="4"/>
  <c r="G17" i="4"/>
  <c r="C3" i="7" l="1"/>
  <c r="C16" i="7"/>
  <c r="C15" i="7"/>
  <c r="C14" i="7"/>
  <c r="C13" i="7"/>
  <c r="C12" i="7"/>
  <c r="C11" i="7"/>
  <c r="C10" i="7"/>
  <c r="C9" i="7"/>
  <c r="C8" i="7"/>
  <c r="C7" i="7"/>
  <c r="C6" i="7"/>
  <c r="C5" i="7"/>
  <c r="C4" i="7"/>
  <c r="J3" i="5" l="1"/>
  <c r="F3" i="5"/>
  <c r="C3" i="5"/>
  <c r="F1048576" i="5" l="1"/>
  <c r="E15" i="4" l="1"/>
  <c r="G15" i="4"/>
  <c r="E14" i="4"/>
  <c r="G14" i="4"/>
  <c r="E12" i="4"/>
  <c r="G12" i="4"/>
  <c r="E13" i="4"/>
  <c r="G13" i="4"/>
  <c r="E8" i="4"/>
  <c r="G8" i="4"/>
  <c r="E9" i="4"/>
  <c r="G9" i="4"/>
  <c r="E10" i="4"/>
  <c r="G10" i="4"/>
  <c r="E3" i="4"/>
  <c r="G3" i="4"/>
  <c r="E4" i="4"/>
  <c r="G4" i="4"/>
  <c r="E5" i="4"/>
  <c r="G5" i="4"/>
  <c r="E6" i="4"/>
  <c r="G6" i="4"/>
  <c r="E11" i="4"/>
  <c r="G11" i="4"/>
  <c r="H3" i="5" l="1"/>
  <c r="I3" i="5" s="1"/>
  <c r="G3" i="5"/>
  <c r="E3" i="5"/>
  <c r="D3" i="5"/>
  <c r="B3" i="5"/>
  <c r="G7" i="4"/>
  <c r="E7" i="4"/>
</calcChain>
</file>

<file path=xl/sharedStrings.xml><?xml version="1.0" encoding="utf-8"?>
<sst xmlns="http://schemas.openxmlformats.org/spreadsheetml/2006/main" count="9433" uniqueCount="3945">
  <si>
    <t>Information of applicants</t>
  </si>
  <si>
    <t>Sequence No.</t>
  </si>
  <si>
    <t>CN Name</t>
  </si>
  <si>
    <t>EN Name</t>
  </si>
  <si>
    <t>ID No.</t>
  </si>
  <si>
    <t>Contact No.</t>
  </si>
  <si>
    <t>CN Company Name</t>
  </si>
  <si>
    <t>EN Company Name</t>
  </si>
  <si>
    <t>Subject of Examination</t>
  </si>
  <si>
    <t>Date of Examination</t>
  </si>
  <si>
    <t>Result</t>
  </si>
  <si>
    <t>1</t>
  </si>
  <si>
    <t>张鹏</t>
  </si>
  <si>
    <t>Zhang, Peng</t>
  </si>
  <si>
    <t>220105199607180415</t>
  </si>
  <si>
    <t>+86 176 4981 8786</t>
  </si>
  <si>
    <t>茵铺锣（上海）自动化科技有限公司</t>
  </si>
  <si>
    <t>InPro (Shanghai) Automation Technology Co.,Ltd</t>
  </si>
  <si>
    <t>VKRC4 KUKA</t>
  </si>
  <si>
    <t>Pass</t>
  </si>
  <si>
    <t>2</t>
  </si>
  <si>
    <t>张圣吉</t>
  </si>
  <si>
    <t>Zhang Shengji</t>
  </si>
  <si>
    <t>340322198802058431</t>
  </si>
  <si>
    <t>+86 186 1623 7787</t>
  </si>
  <si>
    <t>3</t>
  </si>
  <si>
    <t>周立超</t>
  </si>
  <si>
    <t>Zhou Lichao</t>
  </si>
  <si>
    <t>220381198908256017</t>
  </si>
  <si>
    <t>+86 186 1623 7788</t>
  </si>
  <si>
    <t>4</t>
  </si>
  <si>
    <t>Johan Louw</t>
  </si>
  <si>
    <t>M00296052</t>
  </si>
  <si>
    <t>+86 13179138290</t>
  </si>
  <si>
    <t>5</t>
  </si>
  <si>
    <t>马成云</t>
  </si>
  <si>
    <t>Ma Chengyun</t>
  </si>
  <si>
    <t>429004198801191336</t>
  </si>
  <si>
    <t>+86 158 2213 9286</t>
  </si>
  <si>
    <t>VASS V05 Siemens</t>
  </si>
  <si>
    <t>6</t>
  </si>
  <si>
    <t>姚彬彬</t>
  </si>
  <si>
    <t>Yao Binbin</t>
  </si>
  <si>
    <t>341227199001077079</t>
  </si>
  <si>
    <t>+86 186 2161 2076</t>
  </si>
  <si>
    <t>7</t>
  </si>
  <si>
    <t>Sarmiento, Juan</t>
  </si>
  <si>
    <t>G34422029</t>
  </si>
  <si>
    <t>+86 132 5264 5584</t>
  </si>
  <si>
    <t>8</t>
  </si>
  <si>
    <t>郑印</t>
  </si>
  <si>
    <t>Zheng Yin</t>
  </si>
  <si>
    <t>220381198809281110</t>
  </si>
  <si>
    <t>9</t>
  </si>
  <si>
    <t>蔡伟利</t>
  </si>
  <si>
    <t>Cai, Weili</t>
  </si>
  <si>
    <t>140222199608240039</t>
  </si>
  <si>
    <t>上海悍蒙机电科技有限公司</t>
  </si>
  <si>
    <t>Shanghai HANM Technology co., LTd</t>
  </si>
  <si>
    <t>Failed</t>
  </si>
  <si>
    <t>10</t>
  </si>
  <si>
    <t>陶靖仁</t>
  </si>
  <si>
    <t>Tao, Jingren</t>
  </si>
  <si>
    <t>130303199703072000</t>
  </si>
  <si>
    <t>11</t>
  </si>
  <si>
    <t>邹路明</t>
  </si>
  <si>
    <t>Zou, Luming</t>
  </si>
  <si>
    <t>130283199708034911</t>
  </si>
  <si>
    <t>15033460716</t>
  </si>
  <si>
    <t>12</t>
  </si>
  <si>
    <t>郭德锋</t>
  </si>
  <si>
    <t>Guo, Defeng</t>
  </si>
  <si>
    <t>220181199612104413</t>
  </si>
  <si>
    <t>15143196364</t>
  </si>
  <si>
    <t>13</t>
  </si>
  <si>
    <t>杜思涛</t>
  </si>
  <si>
    <t>Du, Sitao</t>
  </si>
  <si>
    <t>62242119940519001X</t>
  </si>
  <si>
    <t>18606760605</t>
  </si>
  <si>
    <t>14</t>
  </si>
  <si>
    <t>Estrada Zatarain, Luis Ignacio</t>
  </si>
  <si>
    <t>G24648837</t>
  </si>
  <si>
    <t>13039315052</t>
  </si>
  <si>
    <t>成都邦德联合自动化科技有限公司</t>
  </si>
  <si>
    <t>Chengdu Bond AAT Co.,ltd</t>
  </si>
  <si>
    <t>15</t>
  </si>
  <si>
    <t>Guske, Stephan Paul</t>
  </si>
  <si>
    <t>C23WVCXNR</t>
  </si>
  <si>
    <t>13069129053</t>
  </si>
  <si>
    <t>16</t>
  </si>
  <si>
    <t>吕志民</t>
  </si>
  <si>
    <t>Lv, Zhimin</t>
  </si>
  <si>
    <t>420117198712187537</t>
  </si>
  <si>
    <t>13816394016</t>
  </si>
  <si>
    <t>利戴工业技术服务（上海）有限公司</t>
  </si>
  <si>
    <t>Leadec Industrial Services(Shanghai) Co.,Ltd</t>
  </si>
  <si>
    <t>VASS V06 Siemens</t>
  </si>
  <si>
    <t>17</t>
  </si>
  <si>
    <t>吴春来</t>
  </si>
  <si>
    <t>Wu, Chunlai</t>
  </si>
  <si>
    <t>220381199010285430</t>
  </si>
  <si>
    <t>18143001406</t>
  </si>
  <si>
    <t>18</t>
  </si>
  <si>
    <t>吴玉良</t>
  </si>
  <si>
    <t>Wu, Yuliang</t>
  </si>
  <si>
    <t>220323198807256313</t>
  </si>
  <si>
    <t>13596039799</t>
  </si>
  <si>
    <t>19</t>
  </si>
  <si>
    <t>周刚刚</t>
  </si>
  <si>
    <t>Zhou, Ganggang</t>
  </si>
  <si>
    <t>362422198708213010</t>
  </si>
  <si>
    <t>13761695843</t>
  </si>
  <si>
    <t>20</t>
  </si>
  <si>
    <t>周浩林</t>
  </si>
  <si>
    <t>Zhou, Haolin</t>
  </si>
  <si>
    <t>421281199303195730</t>
  </si>
  <si>
    <t>17366251052</t>
  </si>
  <si>
    <t>21</t>
  </si>
  <si>
    <t>刁晓通</t>
  </si>
  <si>
    <t>Diao, Xiaotong</t>
  </si>
  <si>
    <t>412326199104252130</t>
  </si>
  <si>
    <t>18817443505</t>
  </si>
  <si>
    <t>22</t>
  </si>
  <si>
    <t>裘立博</t>
    <phoneticPr fontId="24" type="noConversion"/>
  </si>
  <si>
    <t>Qiu,Libo</t>
    <phoneticPr fontId="24" type="noConversion"/>
  </si>
  <si>
    <t>220182198611211534</t>
    <phoneticPr fontId="24" type="noConversion"/>
  </si>
  <si>
    <t>23</t>
  </si>
  <si>
    <t>渠敬森</t>
  </si>
  <si>
    <t>Qu, Jingsen</t>
  </si>
  <si>
    <t>320321198710274217</t>
  </si>
  <si>
    <t>18061641027</t>
  </si>
  <si>
    <t>24</t>
  </si>
  <si>
    <t>张天骥</t>
    <phoneticPr fontId="24" type="noConversion"/>
  </si>
  <si>
    <t>Zhang,Tianji</t>
    <phoneticPr fontId="24" type="noConversion"/>
  </si>
  <si>
    <t>220103198902142713</t>
    <phoneticPr fontId="24" type="noConversion"/>
  </si>
  <si>
    <t>25</t>
  </si>
  <si>
    <t>何振淳</t>
  </si>
  <si>
    <t>He, Zhenchun</t>
  </si>
  <si>
    <t>320821199505225119</t>
  </si>
  <si>
    <t>18206212930</t>
  </si>
  <si>
    <t>26</t>
  </si>
  <si>
    <t>孔令全</t>
  </si>
  <si>
    <t>Kong, Lingquan</t>
  </si>
  <si>
    <t>220112198707153632</t>
  </si>
  <si>
    <t>15948382080</t>
  </si>
  <si>
    <t>27</t>
  </si>
  <si>
    <t>谭仕洲</t>
  </si>
  <si>
    <t>Tan, Shizhou</t>
  </si>
  <si>
    <t>450721198709090999</t>
  </si>
  <si>
    <t>19977147773</t>
  </si>
  <si>
    <t>28</t>
  </si>
  <si>
    <t>李鑫</t>
  </si>
  <si>
    <t>Li, Xin</t>
  </si>
  <si>
    <t>211224199603298612</t>
  </si>
  <si>
    <t>15844012251</t>
  </si>
  <si>
    <t>29</t>
  </si>
  <si>
    <t>唐琪</t>
  </si>
  <si>
    <t>Tang, Qi</t>
  </si>
  <si>
    <t>320821199702045117</t>
  </si>
  <si>
    <t>17551724546</t>
  </si>
  <si>
    <t>30</t>
  </si>
  <si>
    <t>尹显康</t>
  </si>
  <si>
    <t>Yin, Xiankang</t>
  </si>
  <si>
    <t>220183199404155614</t>
  </si>
  <si>
    <t>17602452630</t>
  </si>
  <si>
    <t>31</t>
  </si>
  <si>
    <t>曹长久</t>
  </si>
  <si>
    <t>Cao, Changjiu</t>
  </si>
  <si>
    <t>220122199006013538</t>
  </si>
  <si>
    <t>18946669492</t>
  </si>
  <si>
    <t>32</t>
  </si>
  <si>
    <t>李腾达</t>
  </si>
  <si>
    <t>Li, Tengda</t>
  </si>
  <si>
    <t>22072219940205203X</t>
  </si>
  <si>
    <t>18437928717</t>
  </si>
  <si>
    <t>33</t>
  </si>
  <si>
    <t>生福健</t>
  </si>
  <si>
    <t>Sheng, Fujian</t>
  </si>
  <si>
    <t>210282199712185919</t>
  </si>
  <si>
    <t>18858215052</t>
  </si>
  <si>
    <t>34</t>
  </si>
  <si>
    <t>宋鸿辉</t>
  </si>
  <si>
    <t>Song, Honghui</t>
  </si>
  <si>
    <t>220204199507045434</t>
  </si>
  <si>
    <t>15568299946</t>
  </si>
  <si>
    <t>35</t>
  </si>
  <si>
    <t>王福健</t>
  </si>
  <si>
    <t>Wang, Fujian</t>
  </si>
  <si>
    <t>22028119890106341X</t>
  </si>
  <si>
    <t>18643121670</t>
  </si>
  <si>
    <t>36</t>
  </si>
  <si>
    <t>李劲赓</t>
  </si>
  <si>
    <t>Li, Jingeng</t>
  </si>
  <si>
    <t>220181199710161235</t>
  </si>
  <si>
    <t>15043285336</t>
  </si>
  <si>
    <t>37</t>
  </si>
  <si>
    <t>余鹏</t>
  </si>
  <si>
    <t>Yu, Peng</t>
  </si>
  <si>
    <t>411521199110063932</t>
  </si>
  <si>
    <t>17703768275</t>
  </si>
  <si>
    <t>38</t>
  </si>
  <si>
    <t>金陈</t>
  </si>
  <si>
    <t>Jin, Chen</t>
  </si>
  <si>
    <t>130923199808294333</t>
  </si>
  <si>
    <t>15133751520</t>
  </si>
  <si>
    <t>39</t>
  </si>
  <si>
    <t>张起嘉</t>
  </si>
  <si>
    <t>Zhang, Qijia</t>
  </si>
  <si>
    <t>220403199302153911</t>
  </si>
  <si>
    <t>18566767271</t>
  </si>
  <si>
    <t>40</t>
  </si>
  <si>
    <t>尤敏</t>
  </si>
  <si>
    <t>You, Min</t>
  </si>
  <si>
    <t>34082619940712001X</t>
  </si>
  <si>
    <t>18296232768</t>
  </si>
  <si>
    <t>41</t>
  </si>
  <si>
    <t>徐洲</t>
  </si>
  <si>
    <t>Xu, Zhou</t>
  </si>
  <si>
    <t>220802199611293817</t>
  </si>
  <si>
    <t>15143066374</t>
  </si>
  <si>
    <t>42</t>
  </si>
  <si>
    <t>邢鑫</t>
  </si>
  <si>
    <t>Xing, Xin</t>
  </si>
  <si>
    <t>412822199703306593</t>
  </si>
  <si>
    <t>18739689829</t>
  </si>
  <si>
    <t>43</t>
  </si>
  <si>
    <t>王海洋</t>
  </si>
  <si>
    <t>Wang, Haiyang</t>
  </si>
  <si>
    <t>230802199511051310</t>
  </si>
  <si>
    <t>13190053327</t>
  </si>
  <si>
    <t>44</t>
  </si>
  <si>
    <t>陈佳兵</t>
  </si>
  <si>
    <t>Chen, Jiabing</t>
  </si>
  <si>
    <t>230281199610192314</t>
  </si>
  <si>
    <t>18844507924</t>
  </si>
  <si>
    <t>45</t>
  </si>
  <si>
    <t>李逸</t>
  </si>
  <si>
    <t>Li, Yi</t>
  </si>
  <si>
    <t>420303199711122034</t>
  </si>
  <si>
    <t>15549982303</t>
  </si>
  <si>
    <t>46</t>
  </si>
  <si>
    <t>李文强</t>
  </si>
  <si>
    <t>Li, Wenqiang</t>
  </si>
  <si>
    <t>220422199103155032</t>
  </si>
  <si>
    <t>13104440302</t>
  </si>
  <si>
    <t>长春市和企自动化科技有限公司</t>
  </si>
  <si>
    <t>Changchun HeQi automation technology Co.,Ltd</t>
  </si>
  <si>
    <t>47</t>
  </si>
  <si>
    <t>钟浩</t>
  </si>
  <si>
    <t>Zhong, Hao</t>
  </si>
  <si>
    <t>22038119920116165X</t>
  </si>
  <si>
    <t>18004413201</t>
  </si>
  <si>
    <t>48</t>
  </si>
  <si>
    <t>吕庆阳</t>
  </si>
  <si>
    <t>Lv, Qingyang</t>
  </si>
  <si>
    <t>220181198806205816</t>
  </si>
  <si>
    <t>18916357818</t>
  </si>
  <si>
    <t>49</t>
  </si>
  <si>
    <t>于小川</t>
  </si>
  <si>
    <t>Yu, Xiaochuan</t>
  </si>
  <si>
    <t>341221198709110812</t>
  </si>
  <si>
    <t>18017107892</t>
  </si>
  <si>
    <t>上海逸欣自动化设备有限公司</t>
  </si>
  <si>
    <t>Shanghai Yi Xin Automation Co.,Ltd</t>
  </si>
  <si>
    <t>50</t>
  </si>
  <si>
    <t>凌勇</t>
  </si>
  <si>
    <t>Ling, Yong</t>
  </si>
  <si>
    <t>331082199411064678</t>
  </si>
  <si>
    <t>13857673945</t>
  </si>
  <si>
    <t>51</t>
  </si>
  <si>
    <t>韩安乐</t>
  </si>
  <si>
    <t>Han, Anle</t>
  </si>
  <si>
    <t>411527199902103558</t>
  </si>
  <si>
    <t>17839765041</t>
  </si>
  <si>
    <t>52</t>
  </si>
  <si>
    <t>高丽杰</t>
  </si>
  <si>
    <t>Gao, Lijie</t>
  </si>
  <si>
    <t>410328198807175019</t>
  </si>
  <si>
    <t>18121277255</t>
  </si>
  <si>
    <t>53</t>
  </si>
  <si>
    <t>谭天元</t>
  </si>
  <si>
    <t>Tan, Tianyuan</t>
  </si>
  <si>
    <t>210603199503191016</t>
  </si>
  <si>
    <t>18204157846</t>
  </si>
  <si>
    <t>54</t>
  </si>
  <si>
    <t>李文斌</t>
  </si>
  <si>
    <t>Li, Wenbin</t>
  </si>
  <si>
    <t>220625199110200313</t>
  </si>
  <si>
    <t>上海祈德机电设备有限公司</t>
  </si>
  <si>
    <t>Shanghai QIDE Mechanical and Electrical Equipment Co.,Ltd</t>
  </si>
  <si>
    <t>55</t>
  </si>
  <si>
    <t>林旗</t>
  </si>
  <si>
    <t>Lin, Qi</t>
  </si>
  <si>
    <t>360621197903105013</t>
  </si>
  <si>
    <t>56</t>
  </si>
  <si>
    <t>苏向东</t>
  </si>
  <si>
    <t>Su, Xiangdong</t>
  </si>
  <si>
    <t>220381199301203650</t>
  </si>
  <si>
    <t>57</t>
  </si>
  <si>
    <t>孙漫漫</t>
  </si>
  <si>
    <t>Sun, Manman</t>
  </si>
  <si>
    <t>320382198412159133</t>
  </si>
  <si>
    <t>58</t>
  </si>
  <si>
    <t>兰红瑞</t>
  </si>
  <si>
    <t>Lan, Hongrui</t>
  </si>
  <si>
    <t>320723199012143454</t>
  </si>
  <si>
    <t>上海科自自动化科技有限公司</t>
  </si>
  <si>
    <t>Shanghai kezi Automatic Technology CO.,Ltd</t>
  </si>
  <si>
    <t>59</t>
  </si>
  <si>
    <t>朱明</t>
  </si>
  <si>
    <t>Zhu, Ming</t>
  </si>
  <si>
    <t>341221199612255438</t>
  </si>
  <si>
    <t>60</t>
  </si>
  <si>
    <t>朱岩</t>
  </si>
  <si>
    <t>Zhu,Yan</t>
  </si>
  <si>
    <t>341221198708015493</t>
  </si>
  <si>
    <t>61</t>
  </si>
  <si>
    <t>王冲</t>
  </si>
  <si>
    <t>Wang, Chong</t>
  </si>
  <si>
    <t>421202199207204718</t>
  </si>
  <si>
    <t>62</t>
  </si>
  <si>
    <t>张青云</t>
  </si>
  <si>
    <t>Zhang, Qingyun</t>
  </si>
  <si>
    <t>320826199303290432</t>
  </si>
  <si>
    <t>63</t>
  </si>
  <si>
    <t>孙洪玉</t>
  </si>
  <si>
    <t>Sun, Hongyu</t>
  </si>
  <si>
    <t>220724198603015030</t>
  </si>
  <si>
    <t>64</t>
  </si>
  <si>
    <t>管志东</t>
  </si>
  <si>
    <t>Guan, Zhidong</t>
  </si>
  <si>
    <t>32042319771009181X</t>
  </si>
  <si>
    <t>司徒雅诺夫测量控制及电器技术（长春）有限公司</t>
  </si>
  <si>
    <t>SMRE CHANGCHUN CO.,LTD</t>
  </si>
  <si>
    <t>65</t>
  </si>
  <si>
    <t>王聪</t>
  </si>
  <si>
    <t>Wang, Cong</t>
  </si>
  <si>
    <t>220112198607260019</t>
  </si>
  <si>
    <t>66</t>
  </si>
  <si>
    <t>董莹</t>
  </si>
  <si>
    <t>Dong, Ying</t>
  </si>
  <si>
    <t>22010319931027491X</t>
  </si>
  <si>
    <t>67</t>
  </si>
  <si>
    <t>常雪亮</t>
  </si>
  <si>
    <t>Chang, Xueliang</t>
  </si>
  <si>
    <t>220724199302154613</t>
  </si>
  <si>
    <t>68</t>
  </si>
  <si>
    <t>吴宗科</t>
  </si>
  <si>
    <t>Wu, Zongke</t>
  </si>
  <si>
    <t>620421198809181316</t>
  </si>
  <si>
    <t>69</t>
  </si>
  <si>
    <t>刘宏达</t>
  </si>
  <si>
    <t>Liu, Hongda</t>
  </si>
  <si>
    <t>220722199501163210</t>
  </si>
  <si>
    <t>Leadec Industrial services (Shanghai) Co., Ltd.</t>
  </si>
  <si>
    <t>70</t>
  </si>
  <si>
    <t>210282199712185000</t>
  </si>
  <si>
    <t>71</t>
  </si>
  <si>
    <t>张续文</t>
  </si>
  <si>
    <t>Zhang, Xuwen</t>
  </si>
  <si>
    <t>230623199501121830</t>
  </si>
  <si>
    <t>72</t>
  </si>
  <si>
    <t>李海</t>
  </si>
  <si>
    <t>Li, Hai</t>
  </si>
  <si>
    <t>220181199002055335</t>
  </si>
  <si>
    <t>73</t>
  </si>
  <si>
    <t>李守学</t>
    <phoneticPr fontId="29" type="noConversion"/>
  </si>
  <si>
    <t xml:space="preserve">Li, Shouxue </t>
  </si>
  <si>
    <t>520202198503273011</t>
    <phoneticPr fontId="29" type="noConversion"/>
  </si>
  <si>
    <t>74</t>
  </si>
  <si>
    <t>赵宇</t>
  </si>
  <si>
    <t>Zhao, Yu</t>
  </si>
  <si>
    <t>220620199103101515</t>
  </si>
  <si>
    <t>一汽模具制造有限公司</t>
  </si>
  <si>
    <t>FAW Tooling Die Manufacturing Co.LTD</t>
  </si>
  <si>
    <t>75</t>
  </si>
  <si>
    <t>刘晓东</t>
  </si>
  <si>
    <t>Liu, Xiaodong</t>
  </si>
  <si>
    <t>410182198207046018</t>
  </si>
  <si>
    <t>76</t>
  </si>
  <si>
    <t>修瑜</t>
  </si>
  <si>
    <t>Xiu, Yu</t>
  </si>
  <si>
    <t>220104199602122674</t>
  </si>
  <si>
    <t>77</t>
  </si>
  <si>
    <t>孙配福</t>
  </si>
  <si>
    <t>Sun, Peifu</t>
  </si>
  <si>
    <t>370112198905146014</t>
  </si>
  <si>
    <t>上海九源晟自动化有限公司</t>
  </si>
  <si>
    <t>Shanghai Jiuyuansheng Automation Co., Ltd.</t>
  </si>
  <si>
    <t>78</t>
  </si>
  <si>
    <t>孙茨恩</t>
  </si>
  <si>
    <t>Sun, Cien</t>
  </si>
  <si>
    <t>410928198808200012</t>
  </si>
  <si>
    <t>79</t>
  </si>
  <si>
    <t>顾环宇</t>
  </si>
  <si>
    <t>Gu, Huanyu</t>
  </si>
  <si>
    <t>230722198905151213</t>
  </si>
  <si>
    <t>80</t>
  </si>
  <si>
    <t>庄峥</t>
  </si>
  <si>
    <t>Zhuang, Zheng</t>
  </si>
  <si>
    <t>320721198910125074</t>
  </si>
  <si>
    <t>81</t>
  </si>
  <si>
    <t>陈立庆</t>
  </si>
  <si>
    <t>Chen, Liqing</t>
  </si>
  <si>
    <t>321023199204204410</t>
  </si>
  <si>
    <t>82</t>
  </si>
  <si>
    <t>周杰</t>
  </si>
  <si>
    <t>Zhou, Jie</t>
  </si>
  <si>
    <t>320821199003105117</t>
  </si>
  <si>
    <t>83</t>
  </si>
  <si>
    <t>任海鑫</t>
  </si>
  <si>
    <t>Ren, Haixin</t>
  </si>
  <si>
    <t>230804199307070912</t>
  </si>
  <si>
    <t>84</t>
  </si>
  <si>
    <t>张驰</t>
  </si>
  <si>
    <t>Zhang, Chi</t>
  </si>
  <si>
    <t>220104199507283832</t>
  </si>
  <si>
    <t>85</t>
  </si>
  <si>
    <t>黄向阳</t>
  </si>
  <si>
    <t>Huang, Xiangyang</t>
  </si>
  <si>
    <t>411422198801206636</t>
  </si>
  <si>
    <t>86</t>
  </si>
  <si>
    <t>李金澎</t>
  </si>
  <si>
    <t>Li, Jinpeng</t>
  </si>
  <si>
    <t>220183199804220411</t>
  </si>
  <si>
    <t>87</t>
  </si>
  <si>
    <t>黄晓飞</t>
  </si>
  <si>
    <t>Huang, Xiaofei</t>
  </si>
  <si>
    <t>411422199404276619</t>
  </si>
  <si>
    <t>88</t>
  </si>
  <si>
    <t>吴轶凡</t>
  </si>
  <si>
    <t>Wu, Yifan</t>
  </si>
  <si>
    <t>220822199809014831</t>
  </si>
  <si>
    <t>89</t>
  </si>
  <si>
    <t>孙云川</t>
  </si>
  <si>
    <t>Sun, Yunchuan</t>
  </si>
  <si>
    <t>51092319930830353X</t>
  </si>
  <si>
    <t>90</t>
  </si>
  <si>
    <t>杜林</t>
  </si>
  <si>
    <t>Du, Lin</t>
  </si>
  <si>
    <t>342427198806136934</t>
  </si>
  <si>
    <t>18816938251</t>
  </si>
  <si>
    <t>埃伏斯智能科技（上海）有限公司</t>
  </si>
  <si>
    <t>IFS (Shanghai) Co.,Ltd</t>
  </si>
  <si>
    <t>91</t>
  </si>
  <si>
    <t>陈明</t>
  </si>
  <si>
    <t>Chen, Ming</t>
  </si>
  <si>
    <t>42098419970812171X</t>
  </si>
  <si>
    <t>13871861765</t>
  </si>
  <si>
    <t>92</t>
  </si>
  <si>
    <t>郝东元</t>
  </si>
  <si>
    <t>Hao, Dongyuan</t>
  </si>
  <si>
    <t>421181199701221935</t>
  </si>
  <si>
    <t>15572159087</t>
  </si>
  <si>
    <t>93</t>
  </si>
  <si>
    <t>李金峰</t>
  </si>
  <si>
    <t>Li, Jinfeng</t>
  </si>
  <si>
    <t>220103199412210415</t>
  </si>
  <si>
    <t>FAW TOOLING DIE MANUFACTURING CO..LTD.</t>
  </si>
  <si>
    <t>94</t>
  </si>
  <si>
    <t>陈冲</t>
  </si>
  <si>
    <t>Chen, Chong</t>
  </si>
  <si>
    <t>22020319870718653X</t>
  </si>
  <si>
    <t>95</t>
  </si>
  <si>
    <t>张洪涛</t>
  </si>
  <si>
    <t>Zhang, Hongtao</t>
  </si>
  <si>
    <t>220581199302181976</t>
  </si>
  <si>
    <t>96</t>
  </si>
  <si>
    <t>张冬阳</t>
  </si>
  <si>
    <t>Zhang, Dongyang</t>
  </si>
  <si>
    <t>220381199301182415</t>
  </si>
  <si>
    <t>97</t>
  </si>
  <si>
    <t>董宏翔</t>
  </si>
  <si>
    <t>Dong, Hongxiang</t>
  </si>
  <si>
    <t>220282199007163214</t>
  </si>
  <si>
    <t>98</t>
  </si>
  <si>
    <t>李伟洲</t>
  </si>
  <si>
    <t>Li, Weizhou</t>
  </si>
  <si>
    <t>231181199010073712</t>
  </si>
  <si>
    <t>一汽模具（天津）有限公司</t>
  </si>
  <si>
    <t>FAW TOOLING DIE (TIANJIN) CO.,LTD</t>
  </si>
  <si>
    <t>99</t>
  </si>
  <si>
    <t>艾道功</t>
  </si>
  <si>
    <t>Ai, Daogong</t>
  </si>
  <si>
    <t>410329199009212517</t>
  </si>
  <si>
    <t>Shanghai Hanm Industrial Technology Co.,Ltd</t>
  </si>
  <si>
    <t>100</t>
  </si>
  <si>
    <t>孙小龙</t>
  </si>
  <si>
    <t>Sun, Xiaolong</t>
  </si>
  <si>
    <t>220183199602066014</t>
  </si>
  <si>
    <t>101</t>
  </si>
  <si>
    <t>田康</t>
  </si>
  <si>
    <t>Tian, Kang</t>
  </si>
  <si>
    <t>62270119970528203X</t>
  </si>
  <si>
    <t>102</t>
  </si>
  <si>
    <t>刘政伟</t>
  </si>
  <si>
    <t>Liu, Zhengwei</t>
  </si>
  <si>
    <t>22062219961123001X</t>
  </si>
  <si>
    <t>103</t>
  </si>
  <si>
    <t>刘鑫浩</t>
  </si>
  <si>
    <t>Liu, Xinhao</t>
  </si>
  <si>
    <t>130133199908131514</t>
  </si>
  <si>
    <t>104</t>
  </si>
  <si>
    <t>吴县城</t>
  </si>
  <si>
    <t>Wu, Xiancheng</t>
  </si>
  <si>
    <t>340823198810152130</t>
  </si>
  <si>
    <t>105</t>
  </si>
  <si>
    <t>王天来</t>
  </si>
  <si>
    <t>Wang, Tianlai</t>
  </si>
  <si>
    <t>211481199508122019</t>
  </si>
  <si>
    <t>106</t>
  </si>
  <si>
    <t>唐建国</t>
    <phoneticPr fontId="27" type="noConversion"/>
  </si>
  <si>
    <t>Tang.Jianguo</t>
    <phoneticPr fontId="27" type="noConversion"/>
  </si>
  <si>
    <t>320681197912114615</t>
    <phoneticPr fontId="27" type="noConversion"/>
  </si>
  <si>
    <t>18116179086</t>
    <phoneticPr fontId="27" type="noConversion"/>
  </si>
  <si>
    <t>上海ABB工程有限公司</t>
    <phoneticPr fontId="27" type="noConversion"/>
  </si>
  <si>
    <t>ABB Engineering (Shanghai) Ltd.</t>
    <phoneticPr fontId="27" type="noConversion"/>
  </si>
  <si>
    <t>107</t>
  </si>
  <si>
    <t>周雅鹿</t>
    <phoneticPr fontId="27" type="noConversion"/>
  </si>
  <si>
    <t>Zhou.Yalu</t>
    <phoneticPr fontId="27" type="noConversion"/>
  </si>
  <si>
    <t>420116198408266234</t>
    <phoneticPr fontId="27" type="noConversion"/>
  </si>
  <si>
    <t>108</t>
  </si>
  <si>
    <t>刘家庚</t>
    <phoneticPr fontId="27" type="noConversion"/>
  </si>
  <si>
    <t>Liu.Jiageng</t>
    <phoneticPr fontId="27" type="noConversion"/>
  </si>
  <si>
    <t>210102198804185615</t>
  </si>
  <si>
    <t>109</t>
  </si>
  <si>
    <t>邵哲</t>
    <phoneticPr fontId="27" type="noConversion"/>
  </si>
  <si>
    <t>Shao.Zhe</t>
    <phoneticPr fontId="27" type="noConversion"/>
  </si>
  <si>
    <t>410422199010309130</t>
    <phoneticPr fontId="27" type="noConversion"/>
  </si>
  <si>
    <t>110</t>
  </si>
  <si>
    <t>郝希强</t>
  </si>
  <si>
    <t>Hao XiQiang</t>
  </si>
  <si>
    <r>
      <t>3</t>
    </r>
    <r>
      <rPr>
        <sz val="11"/>
        <color theme="1"/>
        <rFont val="Calibri"/>
        <family val="2"/>
        <scheme val="minor"/>
      </rPr>
      <t>70781198706224011</t>
    </r>
  </si>
  <si>
    <t>上海ABB工程有限公司</t>
  </si>
  <si>
    <t>ABB Engineering (Shanghai) Ltd.</t>
  </si>
  <si>
    <t>111</t>
  </si>
  <si>
    <t>厉靖</t>
  </si>
  <si>
    <t>Li Jing</t>
  </si>
  <si>
    <t>31011519861010013X</t>
  </si>
  <si>
    <t>112</t>
  </si>
  <si>
    <t>马红超</t>
  </si>
  <si>
    <t>Ma Hongchao</t>
  </si>
  <si>
    <t>372928199006274638</t>
  </si>
  <si>
    <t>113</t>
  </si>
  <si>
    <t>戎贾亮</t>
  </si>
  <si>
    <t xml:space="preserve">Rong JiaLiang </t>
  </si>
  <si>
    <t>310113198712022117</t>
  </si>
  <si>
    <t>114</t>
  </si>
  <si>
    <t>王健</t>
  </si>
  <si>
    <t>Wang Jian</t>
  </si>
  <si>
    <t>220722199203202832</t>
  </si>
  <si>
    <t>115</t>
  </si>
  <si>
    <t>甄永祥</t>
  </si>
  <si>
    <t>Zhen YongXiang</t>
  </si>
  <si>
    <t>231083198807183014</t>
  </si>
  <si>
    <t>116</t>
  </si>
  <si>
    <t>吴冠东</t>
  </si>
  <si>
    <t>Wu, Guandong</t>
  </si>
  <si>
    <t>220502198604031818</t>
  </si>
  <si>
    <t>188 2349 3598</t>
  </si>
  <si>
    <t>成都安德力自动化科技有限公司</t>
  </si>
  <si>
    <t xml:space="preserve">ChengDu MICKYS Automation Technology Co., Ltd </t>
  </si>
  <si>
    <t>117</t>
  </si>
  <si>
    <t>宋涛</t>
  </si>
  <si>
    <t>Song,Tao</t>
  </si>
  <si>
    <t>511324199402101314</t>
  </si>
  <si>
    <t>152 2859 0423</t>
  </si>
  <si>
    <t>118</t>
  </si>
  <si>
    <t>刘庆刚</t>
  </si>
  <si>
    <t>Liu,Qinggang</t>
  </si>
  <si>
    <t>370783198301132517</t>
  </si>
  <si>
    <t>186 6546 5812</t>
  </si>
  <si>
    <t>119</t>
  </si>
  <si>
    <t>田顺</t>
  </si>
  <si>
    <t>Tian,Shun</t>
  </si>
  <si>
    <t>51092319930103789X</t>
  </si>
  <si>
    <t>182 6162 9091</t>
  </si>
  <si>
    <t>120</t>
  </si>
  <si>
    <t>张猛</t>
  </si>
  <si>
    <t>Zhang,Meng</t>
  </si>
  <si>
    <t>220523199105111019</t>
  </si>
  <si>
    <t>180 8867 4966</t>
  </si>
  <si>
    <t>121</t>
  </si>
  <si>
    <t>张冬</t>
  </si>
  <si>
    <t>Zhang,Dong</t>
  </si>
  <si>
    <t>511621199210124375</t>
  </si>
  <si>
    <t>182 1552 7661</t>
  </si>
  <si>
    <t>122</t>
  </si>
  <si>
    <t>王显壮</t>
  </si>
  <si>
    <t>Wang,Xianzhuang</t>
  </si>
  <si>
    <t>372924199812210035</t>
  </si>
  <si>
    <t>139 5308 4782</t>
  </si>
  <si>
    <t>123</t>
  </si>
  <si>
    <t>王献友</t>
  </si>
  <si>
    <t>Wang,Xianyou</t>
  </si>
  <si>
    <t>372925199804152310</t>
  </si>
  <si>
    <t>159 6462 7948</t>
  </si>
  <si>
    <t>124</t>
  </si>
  <si>
    <t>张志洋</t>
  </si>
  <si>
    <t>Zhang,Zhiyang</t>
  </si>
  <si>
    <t>220183199112150619</t>
  </si>
  <si>
    <t>185 4316 1215</t>
  </si>
  <si>
    <t>125</t>
  </si>
  <si>
    <t>李涛</t>
  </si>
  <si>
    <t>Li,Tao</t>
  </si>
  <si>
    <t>612427198902110617</t>
  </si>
  <si>
    <t xml:space="preserve">136 4915 6347 </t>
  </si>
  <si>
    <t>126</t>
  </si>
  <si>
    <t>刘鹏</t>
  </si>
  <si>
    <t>Liu,Peng</t>
  </si>
  <si>
    <t>220211199108130918</t>
  </si>
  <si>
    <t>155 9054 4598</t>
  </si>
  <si>
    <t>127</t>
  </si>
  <si>
    <t>赖宁</t>
  </si>
  <si>
    <t>Lai,Ning</t>
  </si>
  <si>
    <t>511028199211267716</t>
  </si>
  <si>
    <t>183 8058 5432</t>
  </si>
  <si>
    <t>128</t>
  </si>
  <si>
    <t>张艺山</t>
  </si>
  <si>
    <t>Zhang,Yishan</t>
  </si>
  <si>
    <t>500223199805213375</t>
  </si>
  <si>
    <t>137 5293 8522</t>
  </si>
  <si>
    <t>129</t>
  </si>
  <si>
    <t>田素坤</t>
  </si>
  <si>
    <t>Tian,Sukun</t>
  </si>
  <si>
    <t>370826199609046431</t>
  </si>
  <si>
    <t>185 1287 7167</t>
  </si>
  <si>
    <t>130</t>
  </si>
  <si>
    <t>何鹏举</t>
  </si>
  <si>
    <t>He,Pengju</t>
  </si>
  <si>
    <t>120222199603242613</t>
  </si>
  <si>
    <t>152 2207 1621</t>
  </si>
  <si>
    <t>131</t>
  </si>
  <si>
    <t>姜新</t>
  </si>
  <si>
    <t>Jiang,Xin</t>
  </si>
  <si>
    <t>220323199501044515</t>
  </si>
  <si>
    <t>138 4464 8441</t>
  </si>
  <si>
    <t>132</t>
  </si>
  <si>
    <t>刘豪</t>
  </si>
  <si>
    <t xml:space="preserve">Liu, Hao </t>
  </si>
  <si>
    <t>610522199503111010</t>
  </si>
  <si>
    <t>上海禹欧自动化科技有限公司</t>
  </si>
  <si>
    <t>Shanghai Yuou automated technology Co., Ltd.</t>
  </si>
  <si>
    <t>133</t>
  </si>
  <si>
    <t>汪清</t>
  </si>
  <si>
    <t>Wang, Qing</t>
  </si>
  <si>
    <t>340811199201184734</t>
  </si>
  <si>
    <t>18521788517</t>
  </si>
  <si>
    <t>上海勃傲自动化系统有限公司</t>
  </si>
  <si>
    <t>B&amp;A automation technology co. Ltd</t>
  </si>
  <si>
    <t>134</t>
  </si>
  <si>
    <t>陈绍源</t>
  </si>
  <si>
    <t>Chen, Shaoyuan</t>
  </si>
  <si>
    <t>510322199510056078</t>
  </si>
  <si>
    <t>13472411984</t>
  </si>
  <si>
    <t>135</t>
  </si>
  <si>
    <t>朱文君</t>
  </si>
  <si>
    <t>Zhu, Wenjun</t>
  </si>
  <si>
    <t>513701199412043911</t>
  </si>
  <si>
    <t>18601640890</t>
  </si>
  <si>
    <t>136</t>
  </si>
  <si>
    <t>马帅浩</t>
  </si>
  <si>
    <t>Ma, Shuaihao</t>
  </si>
  <si>
    <t>410329199710189597</t>
  </si>
  <si>
    <t>17001648765</t>
  </si>
  <si>
    <t>137</t>
  </si>
  <si>
    <t>廖圣洁</t>
  </si>
  <si>
    <t>Liao, Shengjie</t>
  </si>
  <si>
    <t>342425200001147932</t>
  </si>
  <si>
    <t>17682188549</t>
  </si>
  <si>
    <t>138</t>
  </si>
  <si>
    <t>李家豪</t>
  </si>
  <si>
    <t>Li, Jiahao</t>
  </si>
  <si>
    <t>341621200108124137</t>
  </si>
  <si>
    <t>139</t>
  </si>
  <si>
    <t>方正</t>
  </si>
  <si>
    <t>Fang, Zheng</t>
  </si>
  <si>
    <t>342221199812057832</t>
  </si>
  <si>
    <t>140</t>
  </si>
  <si>
    <t>赖观明</t>
  </si>
  <si>
    <t>Lai, Guanming</t>
  </si>
  <si>
    <t>360731200111293813</t>
  </si>
  <si>
    <t>15970115534</t>
  </si>
  <si>
    <t>141</t>
  </si>
  <si>
    <t>李瑞</t>
  </si>
  <si>
    <t>Li, Rui</t>
  </si>
  <si>
    <t>340881199508224314</t>
  </si>
  <si>
    <t>18505567674</t>
  </si>
  <si>
    <t>142</t>
  </si>
  <si>
    <t>侯佳臣</t>
  </si>
  <si>
    <t>Hou, Jiachen</t>
  </si>
  <si>
    <t>341226199811244231</t>
  </si>
  <si>
    <t>143</t>
  </si>
  <si>
    <t>徐金才</t>
  </si>
  <si>
    <t>Xu, Jincai</t>
  </si>
  <si>
    <t>320925198909207511</t>
  </si>
  <si>
    <t>昆山博盛电气科技有限公司</t>
  </si>
  <si>
    <t>Kunshan Bosheng Electric Technology Co., Ltd.</t>
  </si>
  <si>
    <t>144</t>
  </si>
  <si>
    <t>李广友</t>
  </si>
  <si>
    <t>Li, Guangyou</t>
  </si>
  <si>
    <t>320811199503164014</t>
  </si>
  <si>
    <t>145</t>
  </si>
  <si>
    <t>钟健</t>
  </si>
  <si>
    <t>Zhong, Jian</t>
  </si>
  <si>
    <t>430722198709204514</t>
  </si>
  <si>
    <t>146</t>
  </si>
  <si>
    <t>石荣建</t>
  </si>
  <si>
    <t>Shi, Rongjian</t>
  </si>
  <si>
    <t>32082119960615193X</t>
  </si>
  <si>
    <t>147</t>
  </si>
  <si>
    <t>袁泽鸿</t>
  </si>
  <si>
    <t>Yuan, Zehong</t>
  </si>
  <si>
    <t>320682200005224336</t>
  </si>
  <si>
    <t>148</t>
  </si>
  <si>
    <t>王勇</t>
  </si>
  <si>
    <t>Wang, Yong</t>
  </si>
  <si>
    <t>32072119991003541X</t>
  </si>
  <si>
    <t>149</t>
  </si>
  <si>
    <t>杨泽</t>
  </si>
  <si>
    <t>Yang, Ze</t>
  </si>
  <si>
    <t>220183199406057057</t>
  </si>
  <si>
    <t>150</t>
  </si>
  <si>
    <t>高亚平</t>
  </si>
  <si>
    <t>Gao, Yaping</t>
  </si>
  <si>
    <t>220182199705076614</t>
  </si>
  <si>
    <t>151</t>
  </si>
  <si>
    <t>王英博</t>
  </si>
  <si>
    <t>Wang, Yingbo</t>
  </si>
  <si>
    <t>410185199504103537</t>
  </si>
  <si>
    <t>152</t>
  </si>
  <si>
    <t>吴通</t>
  </si>
  <si>
    <t>Wu, Tong</t>
  </si>
  <si>
    <t>320322199311024713</t>
  </si>
  <si>
    <t>153</t>
  </si>
  <si>
    <t>马帅</t>
  </si>
  <si>
    <t>Ma, Shuai</t>
  </si>
  <si>
    <t>22018319961124285X</t>
  </si>
  <si>
    <t>154</t>
  </si>
  <si>
    <t>王吉迅</t>
  </si>
  <si>
    <t>Wang, Jixun</t>
  </si>
  <si>
    <t>210213198801282537</t>
  </si>
  <si>
    <t>大连奥托股份有限公司</t>
  </si>
  <si>
    <t>Dalian Auto Co., Ltd.</t>
  </si>
  <si>
    <t>155</t>
  </si>
  <si>
    <t>徐志明</t>
  </si>
  <si>
    <t>Xu, Zhiming</t>
  </si>
  <si>
    <t>22042219940908621X</t>
  </si>
  <si>
    <t>156</t>
  </si>
  <si>
    <t>Thorsten</t>
  </si>
  <si>
    <t>CCR4RCG7H</t>
  </si>
  <si>
    <t>157</t>
  </si>
  <si>
    <t>赵盼</t>
  </si>
  <si>
    <t>Zhao, Pan</t>
  </si>
  <si>
    <t>340825199011303438</t>
  </si>
  <si>
    <t>安徽巨一科技股份有限公司</t>
  </si>
  <si>
    <t>Jee Technology Co, Ltd.</t>
  </si>
  <si>
    <t>158</t>
  </si>
  <si>
    <t>丁家根</t>
    <phoneticPr fontId="19" type="noConversion"/>
  </si>
  <si>
    <t>Ding, Jiagen</t>
  </si>
  <si>
    <t>340122198912164816</t>
    <phoneticPr fontId="19" type="noConversion"/>
  </si>
  <si>
    <t>安徽巨一科技股份有限公司</t>
    <phoneticPr fontId="19" type="noConversion"/>
  </si>
  <si>
    <t>Jee Technology Co, Ltd.</t>
    <phoneticPr fontId="19" type="noConversion"/>
  </si>
  <si>
    <t>159</t>
  </si>
  <si>
    <t>陈厚标</t>
  </si>
  <si>
    <t>Chen, Houbiao</t>
  </si>
  <si>
    <t>342422199511041092</t>
  </si>
  <si>
    <t>160</t>
  </si>
  <si>
    <t>赵祥众</t>
  </si>
  <si>
    <t>Zhao, Xiangzhong</t>
  </si>
  <si>
    <t>340122199002011698</t>
  </si>
  <si>
    <t>161</t>
  </si>
  <si>
    <t>乔任远</t>
  </si>
  <si>
    <t>Qiao, Renyuan</t>
  </si>
  <si>
    <t>320321199402033790</t>
  </si>
  <si>
    <t>上海名苏机电工程技术有限公司</t>
  </si>
  <si>
    <t>Shanghai Mingsu Electrical Engineering Technology Co., Ltd.</t>
  </si>
  <si>
    <t>162</t>
  </si>
  <si>
    <t>王亚飞</t>
  </si>
  <si>
    <t>Wang, Yafei</t>
  </si>
  <si>
    <t>140624199408280559</t>
  </si>
  <si>
    <t>163</t>
  </si>
  <si>
    <t>赵岳</t>
  </si>
  <si>
    <t>Zhao, Yue</t>
  </si>
  <si>
    <t>140602199502281779</t>
  </si>
  <si>
    <t>164</t>
  </si>
  <si>
    <t>薛祖亮</t>
  </si>
  <si>
    <t>Xue, Zuliang.</t>
  </si>
  <si>
    <t>320621198708112215</t>
  </si>
  <si>
    <t>165</t>
  </si>
  <si>
    <t>曹波</t>
  </si>
  <si>
    <t>Cao, Bo</t>
  </si>
  <si>
    <t>371324198806138374</t>
  </si>
  <si>
    <t>166</t>
  </si>
  <si>
    <t>万李林</t>
  </si>
  <si>
    <t>Wan, Lilin</t>
  </si>
  <si>
    <t>421087199712053212</t>
  </si>
  <si>
    <t>167</t>
  </si>
  <si>
    <t>郑海猛</t>
  </si>
  <si>
    <t>Zheng, Haimeng</t>
  </si>
  <si>
    <t>342422199402152156</t>
  </si>
  <si>
    <t>168</t>
  </si>
  <si>
    <t>李东韶</t>
  </si>
  <si>
    <t>Li, Dongshao</t>
  </si>
  <si>
    <t>410423198105202039</t>
  </si>
  <si>
    <t>上海瀚灏自动化工程技术有限公司</t>
  </si>
  <si>
    <t>Shanghai Hanhao Automation Engineering &amp; Technology Co., Ltd.</t>
  </si>
  <si>
    <t>169</t>
  </si>
  <si>
    <t>沈菲菲</t>
  </si>
  <si>
    <t>Shen, Feifei</t>
  </si>
  <si>
    <t>32062119881128121X</t>
  </si>
  <si>
    <t>170</t>
  </si>
  <si>
    <t>尹淑鹏</t>
  </si>
  <si>
    <t>Yin, Shupeng</t>
  </si>
  <si>
    <t>412702199505011857</t>
  </si>
  <si>
    <t>171</t>
  </si>
  <si>
    <t>何小兵</t>
  </si>
  <si>
    <t>He, Xiaobing</t>
  </si>
  <si>
    <t>320981198510295717</t>
  </si>
  <si>
    <t>西门子工厂自动化工程有限公司</t>
  </si>
  <si>
    <t>Siemens Factory Automation Engineering Ltd.</t>
  </si>
  <si>
    <t>172</t>
  </si>
  <si>
    <t>刘红军</t>
  </si>
  <si>
    <t>Liu, Hongjun</t>
  </si>
  <si>
    <t>430522198212212673</t>
  </si>
  <si>
    <t>173</t>
  </si>
  <si>
    <t>王建国</t>
  </si>
  <si>
    <t>Wang, Jianguo</t>
  </si>
  <si>
    <t>310225197511164211</t>
  </si>
  <si>
    <t>174</t>
  </si>
  <si>
    <t>余先焰</t>
  </si>
  <si>
    <t>Yu, Xianyan</t>
  </si>
  <si>
    <t>340828198908311410</t>
  </si>
  <si>
    <t>175</t>
  </si>
  <si>
    <t>胡永锦</t>
  </si>
  <si>
    <t>Hu, Yongjin</t>
  </si>
  <si>
    <t>352101197807154736</t>
  </si>
  <si>
    <t>176</t>
  </si>
  <si>
    <t>李豪</t>
  </si>
  <si>
    <t>Li, Hao</t>
  </si>
  <si>
    <t>370881198512204034</t>
  </si>
  <si>
    <t>177</t>
  </si>
  <si>
    <t>祝文盼</t>
  </si>
  <si>
    <t>Zhu, Wenpan</t>
  </si>
  <si>
    <t>350722199307115716</t>
  </si>
  <si>
    <t>上海烁逸电子科技有限公司</t>
  </si>
  <si>
    <t xml:space="preserve"> Shanghai SunYell Electronic Technology CO.,LTD.</t>
  </si>
  <si>
    <t>178</t>
  </si>
  <si>
    <t>胡卫杰</t>
  </si>
  <si>
    <t>Hu, Weijie</t>
  </si>
  <si>
    <t>130429198410132437</t>
  </si>
  <si>
    <t>辽宁福瑞施道工程技术有限公司</t>
  </si>
  <si>
    <t>Liaoning Frey Stoll Engineering Technology Co.,Ltd</t>
  </si>
  <si>
    <t>179</t>
  </si>
  <si>
    <t>金成帅</t>
  </si>
  <si>
    <t>Jin, Chengshuai</t>
  </si>
  <si>
    <t>210882199204301015</t>
  </si>
  <si>
    <t>180</t>
  </si>
  <si>
    <t>严少斌</t>
  </si>
  <si>
    <t>Yan, Shaobin</t>
  </si>
  <si>
    <t>342921198708291112</t>
  </si>
  <si>
    <t>上海申克机械有限公司</t>
  </si>
  <si>
    <t xml:space="preserve">Schenck Shanghai Machinery Co., Ltd </t>
  </si>
  <si>
    <t>181</t>
  </si>
  <si>
    <t>周涛</t>
  </si>
  <si>
    <t>Zhou, Tao</t>
  </si>
  <si>
    <t>371524198809285231</t>
  </si>
  <si>
    <t>济南中正金码科技有限公司</t>
  </si>
  <si>
    <t>Jinan Kinmark Technology Co., Ltd</t>
  </si>
  <si>
    <t>182</t>
  </si>
  <si>
    <t>徐鹏</t>
    <phoneticPr fontId="21" type="noConversion"/>
  </si>
  <si>
    <t>Xu, Peng</t>
  </si>
  <si>
    <t>37092119880912005X</t>
    <phoneticPr fontId="21" type="noConversion"/>
  </si>
  <si>
    <t>济南中正金码科技有限公司</t>
    <phoneticPr fontId="21" type="noConversion"/>
  </si>
  <si>
    <t>Jinan Kinmark Technology Co., Ltd</t>
    <phoneticPr fontId="21" type="noConversion"/>
  </si>
  <si>
    <t>183</t>
  </si>
  <si>
    <t>蒋煜珂</t>
  </si>
  <si>
    <t>Jiang, Yuke</t>
  </si>
  <si>
    <t>220103198302181217</t>
  </si>
  <si>
    <t>埃蔚机电设备（上海）有限公司</t>
  </si>
  <si>
    <t>AiWei Mechanical and Electrical equipment (Shanghai) Co., Ltd.</t>
  </si>
  <si>
    <t>184</t>
  </si>
  <si>
    <t>司亮亮</t>
  </si>
  <si>
    <t>Si, Liangliang</t>
  </si>
  <si>
    <t>230402199310240519</t>
  </si>
  <si>
    <t>185</t>
  </si>
  <si>
    <t>杨先夺</t>
  </si>
  <si>
    <t>Yang, Xianduo</t>
  </si>
  <si>
    <t>220323199509216318</t>
  </si>
  <si>
    <t>长春涵智科技有限公司</t>
  </si>
  <si>
    <t>Changchun ATN Gluing Equipment Co.,Ltd.</t>
  </si>
  <si>
    <t>186</t>
  </si>
  <si>
    <t>张峰</t>
  </si>
  <si>
    <t>Zhang, Feng</t>
  </si>
  <si>
    <t>220402199402155619</t>
  </si>
  <si>
    <t>187</t>
  </si>
  <si>
    <t>王远新</t>
  </si>
  <si>
    <t>Wang, YuanXin</t>
  </si>
  <si>
    <t>150425198303233011</t>
  </si>
  <si>
    <t>上海埃福梯自动化输送技术有限公司</t>
  </si>
  <si>
    <t>AFT Automation and Conveying Systems (Shanghai) Co.,Ltd.</t>
  </si>
  <si>
    <t>188</t>
  </si>
  <si>
    <t>苏健</t>
  </si>
  <si>
    <t>Su, Jian</t>
  </si>
  <si>
    <t>511621199505152998</t>
  </si>
  <si>
    <t>189</t>
  </si>
  <si>
    <t>万振</t>
  </si>
  <si>
    <t>Wan, Zhen</t>
  </si>
  <si>
    <t>412827199508133553</t>
  </si>
  <si>
    <t>190</t>
  </si>
  <si>
    <t>杨赛</t>
  </si>
  <si>
    <t>Yang, Sai</t>
  </si>
  <si>
    <t>320381199007049414</t>
  </si>
  <si>
    <t>191</t>
  </si>
  <si>
    <t>冯天玮</t>
  </si>
  <si>
    <t>Feng, Tianwei</t>
  </si>
  <si>
    <t>32108819980928575X</t>
  </si>
  <si>
    <t>天奇自动化工程股份有限公司</t>
  </si>
  <si>
    <t xml:space="preserve">Miracle Automation Engineering Co.,Ltd </t>
  </si>
  <si>
    <t>192</t>
  </si>
  <si>
    <t>葛运伟</t>
  </si>
  <si>
    <t>Ge, Yunwei</t>
  </si>
  <si>
    <t>371325198908071250</t>
  </si>
  <si>
    <t>193</t>
  </si>
  <si>
    <t>张嘉伟</t>
  </si>
  <si>
    <t>Zhang, Jiawei</t>
  </si>
  <si>
    <t>320282199108122570</t>
  </si>
  <si>
    <t>194</t>
  </si>
  <si>
    <t>冯鑫</t>
  </si>
  <si>
    <t>Fen, Xing</t>
  </si>
  <si>
    <t>32022219800114391X</t>
  </si>
  <si>
    <t>195</t>
  </si>
  <si>
    <t>王兆阳</t>
  </si>
  <si>
    <t>Wang, Zhaoyang</t>
  </si>
  <si>
    <t>321323199509282117</t>
  </si>
  <si>
    <t>196</t>
  </si>
  <si>
    <t>冯超</t>
  </si>
  <si>
    <t>Feng, Chao</t>
  </si>
  <si>
    <t>421102199103041218</t>
  </si>
  <si>
    <t>武汉东研智慧设计研究院有限公司</t>
  </si>
  <si>
    <t>Wuhan Dongyan Wisdom Design Institute Co., Ltd.</t>
  </si>
  <si>
    <t>197</t>
  </si>
  <si>
    <t>许进敏</t>
  </si>
  <si>
    <t>Xu, Jinming</t>
  </si>
  <si>
    <t>420222198808162912</t>
  </si>
  <si>
    <t>198</t>
  </si>
  <si>
    <t>潘祥喜</t>
  </si>
  <si>
    <t>Pan, Xiangxi</t>
  </si>
  <si>
    <t>420703199309152413</t>
  </si>
  <si>
    <t>199</t>
  </si>
  <si>
    <t>张逸文</t>
  </si>
  <si>
    <t>Zhang, Yiwen</t>
  </si>
  <si>
    <t>420101199605017018</t>
  </si>
  <si>
    <t>200</t>
  </si>
  <si>
    <t>吴青</t>
  </si>
  <si>
    <t>Wu, Qing</t>
  </si>
  <si>
    <t>420303198508022017</t>
  </si>
  <si>
    <t>201</t>
  </si>
  <si>
    <t>鲁杰</t>
  </si>
  <si>
    <t>Lu, Jie</t>
  </si>
  <si>
    <t>140221199106100013</t>
  </si>
  <si>
    <t>202</t>
  </si>
  <si>
    <t>李钟心</t>
  </si>
  <si>
    <t>Li, Zhongxin</t>
  </si>
  <si>
    <t>42011419940425123X</t>
  </si>
  <si>
    <t>203</t>
  </si>
  <si>
    <t>杨辛</t>
  </si>
  <si>
    <t>Yang, Xin</t>
  </si>
  <si>
    <t>42108319870203005X</t>
  </si>
  <si>
    <t>204</t>
  </si>
  <si>
    <t>徐凯</t>
  </si>
  <si>
    <t>Xu, Kai</t>
  </si>
  <si>
    <t>310106198906212871</t>
  </si>
  <si>
    <t>205</t>
  </si>
  <si>
    <t>聂正国</t>
  </si>
  <si>
    <t>Nie, Zhengguo</t>
  </si>
  <si>
    <t>340822198209196232</t>
  </si>
  <si>
    <t>206</t>
  </si>
  <si>
    <t>邱义</t>
  </si>
  <si>
    <t>Qiu, Yi</t>
  </si>
  <si>
    <t>511324198206162713</t>
  </si>
  <si>
    <t>207</t>
  </si>
  <si>
    <t>朱伟华</t>
  </si>
  <si>
    <t>Zhu, Weihua</t>
  </si>
  <si>
    <t>320681198712095012</t>
  </si>
  <si>
    <t>208</t>
  </si>
  <si>
    <t>符超嵘</t>
  </si>
  <si>
    <t>Fu, Chaorong</t>
  </si>
  <si>
    <t>310107198202113417</t>
  </si>
  <si>
    <t>209</t>
  </si>
  <si>
    <t>胡健</t>
  </si>
  <si>
    <t>Hu, Jian</t>
  </si>
  <si>
    <t>320586198601073917</t>
  </si>
  <si>
    <t>210</t>
  </si>
  <si>
    <t>顾志彬</t>
  </si>
  <si>
    <t>Gu, Zhibin</t>
  </si>
  <si>
    <t>320682199206242199</t>
  </si>
  <si>
    <t>埃姆达国际贸易(上海)有限公司</t>
  </si>
  <si>
    <t>MWT International Trading (Shanghai) Co., Ltd.</t>
  </si>
  <si>
    <t>211</t>
  </si>
  <si>
    <t>郭文豪</t>
  </si>
  <si>
    <t>Guo, Wenhao</t>
  </si>
  <si>
    <t>610430198709210516</t>
  </si>
  <si>
    <t>212</t>
  </si>
  <si>
    <t>黄巍巍</t>
  </si>
  <si>
    <t>Huang, Weiwei</t>
  </si>
  <si>
    <t>320923198710083010</t>
  </si>
  <si>
    <t>213</t>
  </si>
  <si>
    <t>年海东</t>
  </si>
  <si>
    <t>Nian, Haidong</t>
  </si>
  <si>
    <t>232330199602013619</t>
  </si>
  <si>
    <t>上海奥特博格汽车工程有限公司</t>
  </si>
  <si>
    <t>AUTOBOX Technology (SHANGHAI) CO., LTD</t>
  </si>
  <si>
    <t>214</t>
  </si>
  <si>
    <t>沈日佛</t>
    <phoneticPr fontId="25" type="noConversion"/>
  </si>
  <si>
    <t>Shen, Rifo</t>
  </si>
  <si>
    <t>140622199008240838</t>
    <phoneticPr fontId="25" type="noConversion"/>
  </si>
  <si>
    <t>上海九源晟自动化有限公司</t>
    <phoneticPr fontId="25" type="noConversion"/>
  </si>
  <si>
    <t>Shanghai JYS Automation Co.,Ltd</t>
  </si>
  <si>
    <t>215</t>
  </si>
  <si>
    <t>贾洪乐</t>
    <phoneticPr fontId="25" type="noConversion"/>
  </si>
  <si>
    <t>Jia, Hongle</t>
  </si>
  <si>
    <t>22042119971026391X</t>
    <phoneticPr fontId="25" type="noConversion"/>
  </si>
  <si>
    <t>Shanghai JYS Automation Co.,Ltd</t>
    <phoneticPr fontId="25" type="noConversion"/>
  </si>
  <si>
    <t>216</t>
  </si>
  <si>
    <t>赵瑞</t>
    <phoneticPr fontId="25" type="noConversion"/>
  </si>
  <si>
    <t>Zhao, Rui</t>
  </si>
  <si>
    <t>370126200012094219</t>
    <phoneticPr fontId="25" type="noConversion"/>
  </si>
  <si>
    <t>217</t>
  </si>
  <si>
    <t>徐佳伟</t>
    <phoneticPr fontId="25" type="noConversion"/>
  </si>
  <si>
    <t>Xu, Jiawei</t>
  </si>
  <si>
    <t>230904199904100310</t>
    <phoneticPr fontId="25" type="noConversion"/>
  </si>
  <si>
    <t>218</t>
  </si>
  <si>
    <t>尹忠超</t>
    <phoneticPr fontId="25" type="noConversion"/>
  </si>
  <si>
    <t>Yin, Zhongchao</t>
  </si>
  <si>
    <t>220182199802193118</t>
    <phoneticPr fontId="25" type="noConversion"/>
  </si>
  <si>
    <t>219</t>
  </si>
  <si>
    <t>杨扬</t>
  </si>
  <si>
    <t>Yang, Yang</t>
  </si>
  <si>
    <t>370284198302150054</t>
  </si>
  <si>
    <t>不莱梅贝克（上海）工业自动化技术有限公司</t>
  </si>
  <si>
    <t>Blumenbecker (Shanghai)engineering Co., Ltd</t>
  </si>
  <si>
    <t>220</t>
  </si>
  <si>
    <t>华朋</t>
    <phoneticPr fontId="24" type="noConversion"/>
  </si>
  <si>
    <t>Hua, Peng</t>
  </si>
  <si>
    <t>37040319890514561X</t>
    <phoneticPr fontId="24" type="noConversion"/>
  </si>
  <si>
    <t>不莱梅贝克（上海）工业自动化技术有限公司</t>
    <phoneticPr fontId="24" type="noConversion"/>
  </si>
  <si>
    <t>Blumenbecker (Shanghai)engineering Co., Ltd</t>
    <phoneticPr fontId="24" type="noConversion"/>
  </si>
  <si>
    <t>221</t>
  </si>
  <si>
    <t>任九亚</t>
    <phoneticPr fontId="24" type="noConversion"/>
  </si>
  <si>
    <t>Ren, Jiuya</t>
  </si>
  <si>
    <t>32132219921209045X</t>
    <phoneticPr fontId="24" type="noConversion"/>
  </si>
  <si>
    <t>222</t>
  </si>
  <si>
    <t>张中飞</t>
    <phoneticPr fontId="24" type="noConversion"/>
  </si>
  <si>
    <t>Zhang, Zhongfei</t>
  </si>
  <si>
    <t>371327199005135118</t>
    <phoneticPr fontId="24" type="noConversion"/>
  </si>
  <si>
    <t>223</t>
  </si>
  <si>
    <t>陈帅</t>
    <phoneticPr fontId="25" type="noConversion"/>
  </si>
  <si>
    <t>Chen, Shuai</t>
  </si>
  <si>
    <t>320323199008226837</t>
    <phoneticPr fontId="28" type="noConversion"/>
  </si>
  <si>
    <t>上海鑫燕隆汽车装备制造有限公司</t>
    <phoneticPr fontId="25" type="noConversion"/>
  </si>
  <si>
    <t>Shanghai Sinylon Auto Equipment Manufacture Co., Ltd</t>
  </si>
  <si>
    <t>224</t>
  </si>
  <si>
    <t>韩巍巍</t>
    <phoneticPr fontId="25" type="noConversion"/>
  </si>
  <si>
    <t>Han, Weiwei</t>
  </si>
  <si>
    <t>342127198312014332</t>
    <phoneticPr fontId="28" type="noConversion"/>
  </si>
  <si>
    <t>Shanghai Sinylon Auto Equipment Manufacture Co., Ltd</t>
    <phoneticPr fontId="25" type="noConversion"/>
  </si>
  <si>
    <t>225</t>
  </si>
  <si>
    <t>马宇航</t>
    <phoneticPr fontId="25" type="noConversion"/>
  </si>
  <si>
    <t>Ma, Yuhang</t>
  </si>
  <si>
    <t>410181199003270518</t>
    <phoneticPr fontId="28" type="noConversion"/>
  </si>
  <si>
    <t>18521788530</t>
    <phoneticPr fontId="28" type="noConversion"/>
  </si>
  <si>
    <t>上海勃傲自动化系统技术有限公司</t>
    <phoneticPr fontId="25" type="noConversion"/>
  </si>
  <si>
    <t>B&amp;A AUTOMATION SYSTEMS CO.,LTD</t>
    <phoneticPr fontId="25" type="noConversion"/>
  </si>
  <si>
    <t>226</t>
  </si>
  <si>
    <t>刘权</t>
    <phoneticPr fontId="25" type="noConversion"/>
  </si>
  <si>
    <t>Liu, Quan</t>
  </si>
  <si>
    <t>412326199112292415</t>
    <phoneticPr fontId="28" type="noConversion"/>
  </si>
  <si>
    <t>18521788568</t>
  </si>
  <si>
    <t>B&amp;A AUTOMATION SYSTEMS CO.,LTD</t>
  </si>
  <si>
    <t>227</t>
  </si>
  <si>
    <t>李刚</t>
    <phoneticPr fontId="25" type="noConversion"/>
  </si>
  <si>
    <t>Li, Gang</t>
  </si>
  <si>
    <t>342423199012015574</t>
    <phoneticPr fontId="28" type="noConversion"/>
  </si>
  <si>
    <t>17730214557</t>
    <phoneticPr fontId="28" type="noConversion"/>
  </si>
  <si>
    <t>228</t>
  </si>
  <si>
    <t>蒋家豪</t>
    <phoneticPr fontId="25" type="noConversion"/>
  </si>
  <si>
    <t>Jiang, Jiahao</t>
  </si>
  <si>
    <t>341226199510100891</t>
    <phoneticPr fontId="28" type="noConversion"/>
  </si>
  <si>
    <t>18521788537</t>
    <phoneticPr fontId="28" type="noConversion"/>
  </si>
  <si>
    <t>229</t>
  </si>
  <si>
    <t>崔默然</t>
    <phoneticPr fontId="25" type="noConversion"/>
  </si>
  <si>
    <t>Cui, Moran</t>
  </si>
  <si>
    <t>340323199601053336</t>
    <phoneticPr fontId="28" type="noConversion"/>
  </si>
  <si>
    <t>15155269548</t>
    <phoneticPr fontId="28" type="noConversion"/>
  </si>
  <si>
    <t>230</t>
  </si>
  <si>
    <t>陈宇轩</t>
    <phoneticPr fontId="25" type="noConversion"/>
  </si>
  <si>
    <t>Chen, Yuxuan</t>
  </si>
  <si>
    <t>342923199811114015</t>
    <phoneticPr fontId="28" type="noConversion"/>
  </si>
  <si>
    <t>18812164102</t>
    <phoneticPr fontId="28" type="noConversion"/>
  </si>
  <si>
    <t>熊磊</t>
  </si>
  <si>
    <t>Xiong,Lei</t>
  </si>
  <si>
    <t>420704199607130876</t>
  </si>
  <si>
    <t>ROB VASS6</t>
  </si>
  <si>
    <t>2022.07.06</t>
  </si>
  <si>
    <t>PASS</t>
  </si>
  <si>
    <t>林森</t>
  </si>
  <si>
    <t>Lin,Sen</t>
  </si>
  <si>
    <t>23022519950828561X</t>
  </si>
  <si>
    <t>张诚诚</t>
  </si>
  <si>
    <t>Zhang,Chengcheng</t>
  </si>
  <si>
    <t>420281199612254676</t>
  </si>
  <si>
    <t>孙亮</t>
  </si>
  <si>
    <t>Sun Liang</t>
  </si>
  <si>
    <t>21028119870706461X</t>
  </si>
  <si>
    <t>孙敏</t>
  </si>
  <si>
    <t>Sun Min</t>
  </si>
  <si>
    <t>211322198704032010</t>
  </si>
  <si>
    <t>郭浩</t>
  </si>
  <si>
    <t>Guo Hao</t>
  </si>
  <si>
    <t>220402199106031419</t>
  </si>
  <si>
    <t>赵恩广</t>
  </si>
  <si>
    <t>Zhao EnGuang</t>
  </si>
  <si>
    <t>220722199606286233</t>
  </si>
  <si>
    <t>赵明华</t>
  </si>
  <si>
    <t>Zhao MingHua</t>
  </si>
  <si>
    <t>150429199509060611</t>
  </si>
  <si>
    <t>范旺</t>
  </si>
  <si>
    <t>Fan Wang</t>
  </si>
  <si>
    <t>210782199705270215</t>
  </si>
  <si>
    <t>董鑫</t>
  </si>
  <si>
    <t>Dong Xin</t>
  </si>
  <si>
    <t>210283199610310017</t>
  </si>
  <si>
    <t>Liu,Hongjun</t>
  </si>
  <si>
    <t>430522198212212000</t>
  </si>
  <si>
    <t>丁瑶</t>
  </si>
  <si>
    <t>Ding.yao</t>
  </si>
  <si>
    <t>220323199012214819</t>
  </si>
  <si>
    <t>王文超</t>
  </si>
  <si>
    <t>Wang WenChao</t>
  </si>
  <si>
    <t>372926199210021838</t>
  </si>
  <si>
    <t>吉林省酷铂自动化技术有限公司</t>
  </si>
  <si>
    <t>郑金钊</t>
  </si>
  <si>
    <t>Zhengjinzhao</t>
  </si>
  <si>
    <t>220122199412277512</t>
  </si>
  <si>
    <t>高发明</t>
  </si>
  <si>
    <t>Gao FaMing</t>
  </si>
  <si>
    <t>360313198708113577</t>
  </si>
  <si>
    <t>王兴国</t>
  </si>
  <si>
    <t>Wang XingGuo</t>
  </si>
  <si>
    <t>220521199701013236</t>
  </si>
  <si>
    <t>刘传玺</t>
  </si>
  <si>
    <t>Liu ChuanXi</t>
  </si>
  <si>
    <t>23018320001019321X</t>
  </si>
  <si>
    <t>潘传统</t>
  </si>
  <si>
    <t>Pan ChuanTong</t>
  </si>
  <si>
    <t>372926199904271815</t>
  </si>
  <si>
    <t>FAILED</t>
  </si>
  <si>
    <t>淘春康</t>
  </si>
  <si>
    <t>Tao Chunkang</t>
  </si>
  <si>
    <t>342626198806215610</t>
  </si>
  <si>
    <t>于加林</t>
  </si>
  <si>
    <t>Yu JiaLin</t>
  </si>
  <si>
    <t>320826198602070814</t>
  </si>
  <si>
    <t>2022.07.07</t>
  </si>
  <si>
    <t>席得梦</t>
  </si>
  <si>
    <t>Xi DeMeng</t>
  </si>
  <si>
    <t>320381199802103213</t>
  </si>
  <si>
    <t>于加刚</t>
  </si>
  <si>
    <t>Yu，jiagang</t>
  </si>
  <si>
    <t>320723199001153000</t>
  </si>
  <si>
    <t>上海鑫燕隆汽车装备制造有限公司</t>
  </si>
  <si>
    <t>柯希凡</t>
  </si>
  <si>
    <t>Ke,xifan</t>
  </si>
  <si>
    <t>420321199906162000</t>
  </si>
  <si>
    <t>王文俊</t>
  </si>
  <si>
    <t>Wang，wenjun</t>
  </si>
  <si>
    <t>220724199607203000</t>
  </si>
  <si>
    <t>叶宗明</t>
  </si>
  <si>
    <t>Ye zhongming</t>
  </si>
  <si>
    <t>429005199603026170</t>
  </si>
  <si>
    <t>沈骏豪</t>
  </si>
  <si>
    <t>Shen junhao</t>
  </si>
  <si>
    <t>310230199009033718</t>
  </si>
  <si>
    <t>曹雷霆</t>
  </si>
  <si>
    <t>Cao leiting</t>
  </si>
  <si>
    <t>320483200103212617</t>
  </si>
  <si>
    <t>陆恒</t>
  </si>
  <si>
    <t>Lu heng</t>
  </si>
  <si>
    <t>320582199703254216</t>
  </si>
  <si>
    <t>田峰磊</t>
  </si>
  <si>
    <t>Tian fenglei</t>
  </si>
  <si>
    <t>411081198512147959</t>
  </si>
  <si>
    <t>武汉华工激光工程有限责任公司</t>
  </si>
  <si>
    <t>Yang yang</t>
  </si>
  <si>
    <t xml:space="preserve"> 140108198702043210</t>
  </si>
  <si>
    <t>王全阳</t>
  </si>
  <si>
    <t>Wang quanyang</t>
  </si>
  <si>
    <t>421127199310273019</t>
  </si>
  <si>
    <t>夏振曦</t>
  </si>
  <si>
    <t>Xia zhenxi</t>
  </si>
  <si>
    <t>421302199411120410</t>
  </si>
  <si>
    <t>李国辉</t>
  </si>
  <si>
    <t>Li,Guohui</t>
  </si>
  <si>
    <t>411422198904016632</t>
  </si>
  <si>
    <t>陈普豪</t>
  </si>
  <si>
    <t>Chen,Puhao</t>
  </si>
  <si>
    <t>340102199511095513</t>
  </si>
  <si>
    <t>黄三强</t>
  </si>
  <si>
    <t>Huang,Sanqiang</t>
  </si>
  <si>
    <t>342601199409205010</t>
  </si>
  <si>
    <t>刘冬祥</t>
  </si>
  <si>
    <t>Liu,Dongxiang</t>
  </si>
  <si>
    <t>341125199912016850</t>
  </si>
  <si>
    <t>高建祥</t>
  </si>
  <si>
    <t>Gao,Jianxiang</t>
  </si>
  <si>
    <t>342222199510102438</t>
  </si>
  <si>
    <t>刘翰林</t>
  </si>
  <si>
    <t>Liu,Hanlin</t>
  </si>
  <si>
    <t>13018419990101151X</t>
  </si>
  <si>
    <t>谭启辰</t>
  </si>
  <si>
    <t>Tan,Qichen</t>
  </si>
  <si>
    <t>370302199704135119</t>
  </si>
  <si>
    <t>徐鹏</t>
  </si>
  <si>
    <t>Xu,Peng</t>
  </si>
  <si>
    <t>37092119880912005X</t>
  </si>
  <si>
    <t>VASS06 PLC</t>
  </si>
  <si>
    <t>2022.07.04</t>
  </si>
  <si>
    <t>Gu Zhibin</t>
  </si>
  <si>
    <t>320682199206242000</t>
  </si>
  <si>
    <t>方天成</t>
  </si>
  <si>
    <t>Fang Tiancheng</t>
  </si>
  <si>
    <t>340881199402181918</t>
  </si>
  <si>
    <t>张博为</t>
  </si>
  <si>
    <t>Zhang Bowei</t>
  </si>
  <si>
    <t>340881199105271351</t>
  </si>
  <si>
    <t>万杰</t>
  </si>
  <si>
    <t>Wan Jie</t>
  </si>
  <si>
    <t>320826199508155015</t>
  </si>
  <si>
    <t>薛成生</t>
  </si>
  <si>
    <t>Xue Chengsheng</t>
  </si>
  <si>
    <t>320826199007202215</t>
  </si>
  <si>
    <t>Ge.Yunwei</t>
  </si>
  <si>
    <t>Wang.Zhaoyang</t>
  </si>
  <si>
    <t>Zhang.Jiawei</t>
  </si>
  <si>
    <t>刘召雪</t>
  </si>
  <si>
    <t>Liu.Zhaoxue</t>
  </si>
  <si>
    <t>320322198505210835</t>
  </si>
  <si>
    <t>杨鑫</t>
  </si>
  <si>
    <t>Yang.Xin</t>
  </si>
  <si>
    <t>420203199302093732</t>
  </si>
  <si>
    <t>Yang.Sai</t>
  </si>
  <si>
    <t>张杰</t>
  </si>
  <si>
    <t>zhang.jie</t>
  </si>
  <si>
    <t>320325198801167033</t>
  </si>
  <si>
    <t>娄飞</t>
  </si>
  <si>
    <t>Lou Fei</t>
  </si>
  <si>
    <t>522122199607163000</t>
  </si>
  <si>
    <t>2022.07.05</t>
  </si>
  <si>
    <t>Hu Weijie</t>
  </si>
  <si>
    <t>Zhao,Pan</t>
  </si>
  <si>
    <t>Zhao,Xiangzhong</t>
  </si>
  <si>
    <t>丁家根</t>
  </si>
  <si>
    <t>Ding,Jiagen</t>
  </si>
  <si>
    <t>340122198912164816</t>
  </si>
  <si>
    <t>郑云峰</t>
  </si>
  <si>
    <t>Zheng,Yunfeng</t>
  </si>
  <si>
    <t>450923199710100275</t>
  </si>
  <si>
    <t>wan,Lilin</t>
  </si>
  <si>
    <t>吴志远</t>
  </si>
  <si>
    <t>Wu,Zhiyuan</t>
  </si>
  <si>
    <t>220182199908296617</t>
  </si>
  <si>
    <t>陈伟</t>
  </si>
  <si>
    <t>Chen,Wei</t>
  </si>
  <si>
    <t>340322199509100930</t>
  </si>
  <si>
    <t>任九亚</t>
  </si>
  <si>
    <t>Ren,Jiuya</t>
  </si>
  <si>
    <t>32132219921209045X</t>
  </si>
  <si>
    <t>张中飞</t>
  </si>
  <si>
    <t>Zhang,Zhongfei</t>
  </si>
  <si>
    <t>371327199005135118</t>
  </si>
  <si>
    <t>沈日佛</t>
  </si>
  <si>
    <t>Shen,Rifo</t>
  </si>
  <si>
    <t>140622199008240838</t>
  </si>
  <si>
    <t>苏晓琦</t>
  </si>
  <si>
    <t>Su,Xiaoqi</t>
  </si>
  <si>
    <t>22088219980115211X</t>
  </si>
  <si>
    <t>段跃祥</t>
  </si>
  <si>
    <t>Yuexiang, Duan</t>
  </si>
  <si>
    <t>41042620011030301X</t>
  </si>
  <si>
    <t>Fang,zheng</t>
  </si>
  <si>
    <t>Lai,guanming</t>
  </si>
  <si>
    <t>李童</t>
  </si>
  <si>
    <t>Li tong</t>
  </si>
  <si>
    <t>342427199608121314</t>
  </si>
  <si>
    <t>宋路路</t>
  </si>
  <si>
    <t>Song Lulu</t>
  </si>
  <si>
    <t>341227199501243715</t>
  </si>
  <si>
    <t>Yuan Zehong</t>
  </si>
  <si>
    <t>陈志源</t>
  </si>
  <si>
    <t>Chen Zhiyuan</t>
  </si>
  <si>
    <t>429001200010192819</t>
  </si>
  <si>
    <t>王懿</t>
  </si>
  <si>
    <t>Wang Yi</t>
  </si>
  <si>
    <t>500113199801055519</t>
  </si>
  <si>
    <t>爱孚迪（上海）制造系统工程有限公司</t>
  </si>
  <si>
    <r>
      <t>2</t>
    </r>
    <r>
      <rPr>
        <sz val="11"/>
        <color theme="1"/>
        <rFont val="Calibri"/>
        <family val="2"/>
        <scheme val="minor"/>
      </rPr>
      <t>31</t>
    </r>
    <phoneticPr fontId="69" type="noConversion"/>
  </si>
  <si>
    <t>崔泳</t>
  </si>
  <si>
    <t>CUIYONG</t>
  </si>
  <si>
    <t>413026199908106977</t>
  </si>
  <si>
    <t>2023.01.10-01.12</t>
  </si>
  <si>
    <r>
      <t>2</t>
    </r>
    <r>
      <rPr>
        <sz val="11"/>
        <color theme="1"/>
        <rFont val="Calibri"/>
        <family val="2"/>
        <scheme val="minor"/>
      </rPr>
      <t>32</t>
    </r>
    <phoneticPr fontId="69" type="noConversion"/>
  </si>
  <si>
    <t>李万鹏</t>
  </si>
  <si>
    <t>LIWANPENG</t>
  </si>
  <si>
    <t>220181199304075315</t>
  </si>
  <si>
    <t>233</t>
  </si>
  <si>
    <t>王彦超</t>
  </si>
  <si>
    <t>WANGYANCHAO</t>
  </si>
  <si>
    <t>220724199504051874</t>
  </si>
  <si>
    <t>234</t>
  </si>
  <si>
    <t>徐晓天</t>
  </si>
  <si>
    <t>XUXIAOTIAN</t>
  </si>
  <si>
    <t>220281199109152632</t>
  </si>
  <si>
    <t>235</t>
  </si>
  <si>
    <t>季春锋</t>
  </si>
  <si>
    <t>JICHUNFENG</t>
  </si>
  <si>
    <t>220724198910044819</t>
  </si>
  <si>
    <t>236</t>
  </si>
  <si>
    <t>王佳欢</t>
  </si>
  <si>
    <t>Wang, Jiahuan</t>
  </si>
  <si>
    <t>220221199102186550</t>
    <phoneticPr fontId="69" type="noConversion"/>
  </si>
  <si>
    <t>237</t>
  </si>
  <si>
    <t>潘松</t>
  </si>
  <si>
    <t>Pan, Song</t>
  </si>
  <si>
    <t>220102199605161633</t>
    <phoneticPr fontId="69" type="noConversion"/>
  </si>
  <si>
    <t>238</t>
  </si>
  <si>
    <t>张宏健</t>
  </si>
  <si>
    <t>ZHANGHONGJIAN</t>
  </si>
  <si>
    <t>220722199003011839</t>
  </si>
  <si>
    <t>239</t>
  </si>
  <si>
    <t>董昌建</t>
  </si>
  <si>
    <t>Dong, Changjian</t>
  </si>
  <si>
    <t>410822199702143014</t>
    <phoneticPr fontId="69" type="noConversion"/>
  </si>
  <si>
    <t>240</t>
  </si>
  <si>
    <t>杨荣涛</t>
  </si>
  <si>
    <t>YANGRONGTAO</t>
  </si>
  <si>
    <t>420321198711110779</t>
  </si>
  <si>
    <t>18930250221</t>
  </si>
  <si>
    <t>241</t>
  </si>
  <si>
    <t>陈崇明</t>
  </si>
  <si>
    <t>Chen, Chongming</t>
  </si>
  <si>
    <t>440223199811233712</t>
    <phoneticPr fontId="69" type="noConversion"/>
  </si>
  <si>
    <t>242</t>
  </si>
  <si>
    <t>宋崇</t>
  </si>
  <si>
    <t>SONGCHONG</t>
  </si>
  <si>
    <t>220323199503020031</t>
  </si>
  <si>
    <t>243</t>
  </si>
  <si>
    <t>林冬</t>
  </si>
  <si>
    <t>LINDONG</t>
  </si>
  <si>
    <t>220381199612044212</t>
  </si>
  <si>
    <t>244</t>
  </si>
  <si>
    <t>高天</t>
  </si>
  <si>
    <t>GAOTIAN</t>
  </si>
  <si>
    <t>220183199804296037</t>
  </si>
  <si>
    <t>245</t>
  </si>
  <si>
    <t>于天麒</t>
  </si>
  <si>
    <t>YUTIANQI</t>
  </si>
  <si>
    <t>220122199606130711</t>
  </si>
  <si>
    <t>ROB VASS6</t>
    <phoneticPr fontId="69" type="noConversion"/>
  </si>
  <si>
    <t>246</t>
  </si>
  <si>
    <t>李健</t>
  </si>
  <si>
    <t>LIJIAN</t>
  </si>
  <si>
    <t>220323199601092418</t>
  </si>
  <si>
    <t>247</t>
  </si>
  <si>
    <t>黄冬冬</t>
  </si>
  <si>
    <t>HUANGDONGDONG</t>
  </si>
  <si>
    <t>412825199609089130</t>
  </si>
  <si>
    <t>248</t>
  </si>
  <si>
    <t>王伟东</t>
  </si>
  <si>
    <t>WANGWEIDONG</t>
  </si>
  <si>
    <t>220724199509261619</t>
  </si>
  <si>
    <t>249</t>
  </si>
  <si>
    <t>申磊召</t>
  </si>
  <si>
    <t>SHENLEIZHAO</t>
  </si>
  <si>
    <t>130582199810270435</t>
  </si>
  <si>
    <t>250</t>
  </si>
  <si>
    <t>ZHANGPENG</t>
  </si>
  <si>
    <t>251</t>
  </si>
  <si>
    <t>张金辉</t>
  </si>
  <si>
    <t>Zhang, Jinhui</t>
  </si>
  <si>
    <t>220103199611134910</t>
    <phoneticPr fontId="69" type="noConversion"/>
  </si>
  <si>
    <t>252</t>
  </si>
  <si>
    <t>郑林轩</t>
  </si>
  <si>
    <t>Zheng, Linxuan</t>
  </si>
  <si>
    <t>220621199505202414</t>
    <phoneticPr fontId="69" type="noConversion"/>
  </si>
  <si>
    <t>253</t>
  </si>
  <si>
    <t>薛涵清</t>
  </si>
  <si>
    <t>Xue, Hanqing</t>
  </si>
  <si>
    <t>220122198903255057</t>
    <phoneticPr fontId="69" type="noConversion"/>
  </si>
  <si>
    <t>254</t>
  </si>
  <si>
    <t>唐兵</t>
  </si>
  <si>
    <t>Tangbing</t>
  </si>
  <si>
    <t>220221198908243679</t>
    <phoneticPr fontId="69" type="noConversion"/>
  </si>
  <si>
    <t>255</t>
  </si>
  <si>
    <t>李宗龙</t>
  </si>
  <si>
    <t>lizonglong</t>
  </si>
  <si>
    <t>220183199404220017</t>
  </si>
  <si>
    <t>FAW Tooling Die Manufacturing  Co-Ltd</t>
  </si>
  <si>
    <t>256</t>
  </si>
  <si>
    <t>杨博华</t>
  </si>
  <si>
    <t>yangbohua</t>
  </si>
  <si>
    <t>220202199408044214</t>
  </si>
  <si>
    <t>257</t>
  </si>
  <si>
    <t>林芯宇</t>
  </si>
  <si>
    <t>linxinyu</t>
  </si>
  <si>
    <t>220724199711151413</t>
  </si>
  <si>
    <t>258</t>
  </si>
  <si>
    <t>陈浩宇</t>
  </si>
  <si>
    <t>chenhaoyu</t>
  </si>
  <si>
    <t>220203199401133915</t>
  </si>
  <si>
    <t>259</t>
  </si>
  <si>
    <t>姜博瀚</t>
  </si>
  <si>
    <t>jiangbohan</t>
  </si>
  <si>
    <t>211481198807051017</t>
  </si>
  <si>
    <t>260</t>
  </si>
  <si>
    <t>申沅鑫</t>
  </si>
  <si>
    <t>shenyuanxin</t>
  </si>
  <si>
    <t>211421199405020232</t>
  </si>
  <si>
    <t>吉林省众和自动化科技有限公司</t>
  </si>
  <si>
    <t>Jilin Province Croud Gentle Automation Technologies Co.,Ltd</t>
  </si>
  <si>
    <t>261</t>
  </si>
  <si>
    <t>闫明</t>
  </si>
  <si>
    <t>yanming</t>
  </si>
  <si>
    <t>220284199811300614</t>
  </si>
  <si>
    <t>262</t>
  </si>
  <si>
    <t>戚闯</t>
  </si>
  <si>
    <t>qichuang</t>
  </si>
  <si>
    <t>220381200108216017</t>
  </si>
  <si>
    <t>263</t>
  </si>
  <si>
    <t>唐翊超</t>
  </si>
  <si>
    <t>tangyichao</t>
  </si>
  <si>
    <t>22010419961222181X</t>
  </si>
  <si>
    <t>264</t>
  </si>
  <si>
    <t>徐超</t>
  </si>
  <si>
    <t>xvchao</t>
  </si>
  <si>
    <t>222426200210041711</t>
  </si>
  <si>
    <t>265</t>
  </si>
  <si>
    <t>李潍</t>
  </si>
  <si>
    <t>liwei</t>
  </si>
  <si>
    <t>220112199910284018</t>
  </si>
  <si>
    <t>266</t>
  </si>
  <si>
    <t>赵建姣</t>
  </si>
  <si>
    <t>zhaojianjiao</t>
  </si>
  <si>
    <t>152322198507280917</t>
  </si>
  <si>
    <t>ROB VASS5</t>
    <phoneticPr fontId="69" type="noConversion"/>
  </si>
  <si>
    <t>267</t>
  </si>
  <si>
    <t>姜宏锦</t>
  </si>
  <si>
    <t>jianghongjin</t>
  </si>
  <si>
    <t>220702199802050812</t>
  </si>
  <si>
    <t>268</t>
  </si>
  <si>
    <t>冯硕</t>
  </si>
  <si>
    <t xml:space="preserve">fengshuo </t>
  </si>
  <si>
    <t>22018319970208421X</t>
  </si>
  <si>
    <t>269</t>
  </si>
  <si>
    <t>佟亮</t>
  </si>
  <si>
    <t>tongliang</t>
  </si>
  <si>
    <t>220182199609177810</t>
  </si>
  <si>
    <t>270</t>
  </si>
  <si>
    <t>李再强</t>
  </si>
  <si>
    <t>lizaiqiang</t>
  </si>
  <si>
    <t>220183199411087410</t>
  </si>
  <si>
    <t>271</t>
  </si>
  <si>
    <t>李玉</t>
  </si>
  <si>
    <t>liyu</t>
  </si>
  <si>
    <t>231182198911023159</t>
  </si>
  <si>
    <t>272</t>
  </si>
  <si>
    <t>安峻锋</t>
  </si>
  <si>
    <t>anjunfeng</t>
    <phoneticPr fontId="69" type="noConversion"/>
  </si>
  <si>
    <t>22010619990223921X</t>
  </si>
  <si>
    <t>273</t>
  </si>
  <si>
    <t>李喆</t>
  </si>
  <si>
    <t>lizhe</t>
  </si>
  <si>
    <t>220106198804099212</t>
  </si>
  <si>
    <t>274</t>
  </si>
  <si>
    <t>zhanghongtao</t>
  </si>
  <si>
    <t>275</t>
  </si>
  <si>
    <t>周纼标</t>
  </si>
  <si>
    <t>zhouzhenbiao</t>
  </si>
  <si>
    <t>220122199308226811</t>
  </si>
  <si>
    <t>276</t>
  </si>
  <si>
    <t>冯磊</t>
  </si>
  <si>
    <t>fenglei</t>
  </si>
  <si>
    <t>142725198805071610</t>
  </si>
  <si>
    <t>277</t>
  </si>
  <si>
    <t>孙春光</t>
  </si>
  <si>
    <t>sunchunguang</t>
  </si>
  <si>
    <t>130133198407260313</t>
  </si>
  <si>
    <t>13578921863</t>
  </si>
  <si>
    <t>278</t>
  </si>
  <si>
    <t>张福强</t>
  </si>
  <si>
    <t>zhangfuqiang</t>
  </si>
  <si>
    <t>220721199112032018</t>
  </si>
  <si>
    <t>279</t>
  </si>
  <si>
    <t>邓艳娇</t>
  </si>
  <si>
    <t>dengyanjiao</t>
  </si>
  <si>
    <t>220122199008285916</t>
  </si>
  <si>
    <t>280</t>
  </si>
  <si>
    <t>邢先龙</t>
  </si>
  <si>
    <t>xingxianlong</t>
  </si>
  <si>
    <t>222403199307293819</t>
  </si>
  <si>
    <t>281</t>
  </si>
  <si>
    <t>张继飞</t>
  </si>
  <si>
    <t>zhangjifei</t>
  </si>
  <si>
    <t>220122199609101633</t>
  </si>
  <si>
    <t>13234419958</t>
  </si>
  <si>
    <t>282</t>
  </si>
  <si>
    <t>张景慧</t>
  </si>
  <si>
    <t>jinghaihui</t>
  </si>
  <si>
    <t>152322199511150052</t>
  </si>
  <si>
    <t>283</t>
  </si>
  <si>
    <t>梅波</t>
  </si>
  <si>
    <t>meibo</t>
  </si>
  <si>
    <t>430726199607061356</t>
  </si>
  <si>
    <t>15675602751</t>
  </si>
  <si>
    <t>284</t>
  </si>
  <si>
    <t>宋腾飞</t>
  </si>
  <si>
    <t>songtengfei</t>
  </si>
  <si>
    <t>220323199911203216</t>
  </si>
  <si>
    <t>19997169203</t>
  </si>
  <si>
    <t>285</t>
  </si>
  <si>
    <t>高歌</t>
  </si>
  <si>
    <t>gaoge</t>
  </si>
  <si>
    <t>220203199508285118</t>
  </si>
  <si>
    <t>286</t>
  </si>
  <si>
    <t>刘国梁</t>
  </si>
  <si>
    <t>liuguoliang</t>
  </si>
  <si>
    <t>220523199901091418</t>
  </si>
  <si>
    <t>18404307956</t>
  </si>
  <si>
    <t>287</t>
  </si>
  <si>
    <t>2023.02.21-02.22</t>
  </si>
  <si>
    <t>288</t>
  </si>
  <si>
    <t>289</t>
  </si>
  <si>
    <t>290</t>
  </si>
  <si>
    <t>291</t>
  </si>
  <si>
    <t>薛汉青</t>
  </si>
  <si>
    <t>220122198903255057</t>
  </si>
  <si>
    <t>292</t>
  </si>
  <si>
    <t>袁磊</t>
  </si>
  <si>
    <t>Yuan Lei</t>
  </si>
  <si>
    <t>370883198910264414</t>
  </si>
  <si>
    <t>293</t>
  </si>
  <si>
    <t>任开瑞</t>
  </si>
  <si>
    <t>Ren Kairui</t>
  </si>
  <si>
    <t>321322199312090473</t>
  </si>
  <si>
    <t>294</t>
  </si>
  <si>
    <t>俞志</t>
  </si>
  <si>
    <t>Yu， Zhi</t>
  </si>
  <si>
    <t>342622199898126477</t>
  </si>
  <si>
    <t>上海羽图智能科技有限公司</t>
  </si>
  <si>
    <t>Shanghai Yutu Intelligent Technology Co.,Ltd.</t>
  </si>
  <si>
    <t>295</t>
  </si>
  <si>
    <t>18672847176</t>
  </si>
  <si>
    <t>296</t>
  </si>
  <si>
    <t>Wang QuanYan</t>
  </si>
  <si>
    <t>华工法利莱切焊系统工程有限公司</t>
  </si>
  <si>
    <t>Wuhan Huagong Laser Engineering Co., Ltd</t>
  </si>
  <si>
    <t>297</t>
  </si>
  <si>
    <t>Yang Yang</t>
  </si>
  <si>
    <t>140108198702043210</t>
  </si>
  <si>
    <t>298</t>
  </si>
  <si>
    <t>翟铭科</t>
  </si>
  <si>
    <t>Mingke Zhai</t>
  </si>
  <si>
    <t>22038119981119001X</t>
  </si>
  <si>
    <t>Da Lian Auto Co,Ltd</t>
  </si>
  <si>
    <t>299</t>
  </si>
  <si>
    <t>宋英来</t>
  </si>
  <si>
    <t>Yinglai Song</t>
  </si>
  <si>
    <t>211322199609071534</t>
  </si>
  <si>
    <t>300</t>
  </si>
  <si>
    <t>马小峰</t>
  </si>
  <si>
    <t>Xiaofeng Ma</t>
  </si>
  <si>
    <t>210882200103011831</t>
  </si>
  <si>
    <t>301</t>
  </si>
  <si>
    <t>302</t>
  </si>
  <si>
    <t>王佳环</t>
  </si>
  <si>
    <t>220221199102186550</t>
  </si>
  <si>
    <t>303</t>
  </si>
  <si>
    <t>220102199605161633</t>
  </si>
  <si>
    <t>304</t>
  </si>
  <si>
    <t>305</t>
  </si>
  <si>
    <t>赵文轩</t>
  </si>
  <si>
    <t>Zhao,wenxuan</t>
  </si>
  <si>
    <t>220602199704110919</t>
  </si>
  <si>
    <t>ChengDu MICKYS Automation Technology Co., Ltd</t>
  </si>
  <si>
    <t>306</t>
  </si>
  <si>
    <t>307</t>
  </si>
  <si>
    <t>赵汗青</t>
  </si>
  <si>
    <t>Zhao,Hanqing</t>
  </si>
  <si>
    <t>220182199504047411</t>
  </si>
  <si>
    <t>308</t>
  </si>
  <si>
    <t>李铎</t>
  </si>
  <si>
    <t>Li,Duo</t>
  </si>
  <si>
    <t>220724199905150232</t>
  </si>
  <si>
    <t>ROB VASS5</t>
  </si>
  <si>
    <t>309</t>
  </si>
  <si>
    <t>李博</t>
  </si>
  <si>
    <t>Li,Bo</t>
  </si>
  <si>
    <t>220181199305073530</t>
  </si>
  <si>
    <t>310</t>
  </si>
  <si>
    <t>李忠林</t>
  </si>
  <si>
    <t>Li,Zhonglin</t>
  </si>
  <si>
    <t>220381199810124010</t>
  </si>
  <si>
    <t>311</t>
  </si>
  <si>
    <t>姜涛</t>
  </si>
  <si>
    <t>Jiang,Tao</t>
  </si>
  <si>
    <t>220182199510207418</t>
  </si>
  <si>
    <t>312</t>
  </si>
  <si>
    <t>313</t>
  </si>
  <si>
    <t>Xiangzhong.Zhao</t>
  </si>
  <si>
    <t>JEE Technology Co., Ltd.</t>
  </si>
  <si>
    <t>314</t>
  </si>
  <si>
    <t>张志强</t>
  </si>
  <si>
    <t>Zhiqiang.Zhang</t>
  </si>
  <si>
    <t>140225199101150818</t>
  </si>
  <si>
    <t xml:space="preserve">Shanghai Mingsu Electrical Engineering Technology Co., Ltd.
</t>
  </si>
  <si>
    <t>315</t>
  </si>
  <si>
    <t>赵庆远</t>
  </si>
  <si>
    <t>Qingyuan.Zhao</t>
  </si>
  <si>
    <t>371324199902259816</t>
  </si>
  <si>
    <t>316</t>
  </si>
  <si>
    <t>Lilin.Wan</t>
  </si>
  <si>
    <t>317</t>
  </si>
  <si>
    <t>Zhiyuan.WU</t>
  </si>
  <si>
    <t>318</t>
  </si>
  <si>
    <t>陈传予</t>
  </si>
  <si>
    <t>Chen Chuanyu</t>
  </si>
  <si>
    <t>210212199901012516</t>
  </si>
  <si>
    <t>Dalian Auto Tech Inc.</t>
  </si>
  <si>
    <t>319</t>
  </si>
  <si>
    <t>曾聚</t>
  </si>
  <si>
    <t>ZengJu</t>
  </si>
  <si>
    <t>452227198203200014</t>
  </si>
  <si>
    <t>320</t>
  </si>
  <si>
    <t>321</t>
  </si>
  <si>
    <t>322</t>
  </si>
  <si>
    <t>孙慧圆</t>
  </si>
  <si>
    <t>Sun Huiyuan</t>
  </si>
  <si>
    <t>222404199903232832</t>
  </si>
  <si>
    <t>13596508256</t>
  </si>
  <si>
    <t>Shanghai JYS Automation Co., Ltd.</t>
  </si>
  <si>
    <t>323</t>
  </si>
  <si>
    <t>史鹏</t>
  </si>
  <si>
    <t>Shi Peng</t>
  </si>
  <si>
    <t>22010620001202081X</t>
  </si>
  <si>
    <t>13596127239</t>
  </si>
  <si>
    <t>324</t>
  </si>
  <si>
    <t>徐云飞</t>
  </si>
  <si>
    <t>Yunfei Xu</t>
  </si>
  <si>
    <t>211422200003261510</t>
  </si>
  <si>
    <t>325</t>
  </si>
  <si>
    <t>Wei.Chen</t>
  </si>
  <si>
    <t>326</t>
  </si>
  <si>
    <t>姚子健</t>
  </si>
  <si>
    <t>Zijian Yao</t>
  </si>
  <si>
    <t>370322200011211319</t>
  </si>
  <si>
    <t>327</t>
  </si>
  <si>
    <t>DuanYuexiang</t>
  </si>
  <si>
    <t>上海禹殴自动化科技有限公司</t>
  </si>
  <si>
    <t>328</t>
  </si>
  <si>
    <t>王开放</t>
  </si>
  <si>
    <t>WangKaifang</t>
  </si>
  <si>
    <t>412722199005102512</t>
  </si>
  <si>
    <t>329</t>
  </si>
  <si>
    <t>王昭杰</t>
  </si>
  <si>
    <t>Zhaojie Wang</t>
  </si>
  <si>
    <t>210623200011270931</t>
  </si>
  <si>
    <t>330</t>
  </si>
  <si>
    <t>代国徽</t>
  </si>
  <si>
    <t>Dai GuoHui</t>
  </si>
  <si>
    <t>220802199809292131</t>
  </si>
  <si>
    <t>JiLin KUBO automation technology co. Ltd</t>
  </si>
  <si>
    <t>331</t>
  </si>
  <si>
    <t>332</t>
  </si>
  <si>
    <t>李闯</t>
  </si>
  <si>
    <t>Li chuang</t>
  </si>
  <si>
    <t>220122199908024033</t>
  </si>
  <si>
    <t>333</t>
  </si>
  <si>
    <t>侯运国</t>
  </si>
  <si>
    <t>Hou yunguo</t>
  </si>
  <si>
    <t>61242719920102063X</t>
  </si>
  <si>
    <t>334</t>
  </si>
  <si>
    <t>徐铎</t>
  </si>
  <si>
    <t>Xu duo</t>
  </si>
  <si>
    <t>220104200207097312</t>
  </si>
  <si>
    <t>335</t>
  </si>
  <si>
    <t>许源</t>
  </si>
  <si>
    <t>XuYuan</t>
  </si>
  <si>
    <t>612321199707104714</t>
  </si>
  <si>
    <t>336</t>
  </si>
  <si>
    <t>卞伟</t>
  </si>
  <si>
    <t>BianWei</t>
  </si>
  <si>
    <t>320911199601176014</t>
  </si>
  <si>
    <t>337</t>
  </si>
  <si>
    <t>武龙青</t>
  </si>
  <si>
    <t>WuLongqing</t>
  </si>
  <si>
    <t>140624200003127236</t>
  </si>
  <si>
    <t>338</t>
  </si>
  <si>
    <t>葛茂想</t>
  </si>
  <si>
    <t>GeMaoXiang</t>
  </si>
  <si>
    <t>340122198304277374</t>
  </si>
  <si>
    <t>339</t>
  </si>
  <si>
    <t>陶林</t>
  </si>
  <si>
    <t>TaoLin</t>
  </si>
  <si>
    <t>500224199806205875</t>
  </si>
  <si>
    <t>340</t>
  </si>
  <si>
    <t>Feng.Xin</t>
  </si>
  <si>
    <t>341</t>
  </si>
  <si>
    <t>凌恺秋</t>
  </si>
  <si>
    <t>Ling.Kaiqiu</t>
  </si>
  <si>
    <t>320928199608202219</t>
  </si>
  <si>
    <t>342</t>
  </si>
  <si>
    <t>陈家豪</t>
  </si>
  <si>
    <t>Chen.Jiahao</t>
  </si>
  <si>
    <t>320482199906190819</t>
  </si>
  <si>
    <t>343</t>
  </si>
  <si>
    <t>卜凡磊</t>
  </si>
  <si>
    <t>Bu.Fanlei</t>
  </si>
  <si>
    <t>320721199408105013</t>
  </si>
  <si>
    <t>344</t>
  </si>
  <si>
    <t>史杰</t>
  </si>
  <si>
    <t>Shi.Jie</t>
  </si>
  <si>
    <t>321323199410173930</t>
  </si>
  <si>
    <t>2022.02.21-02.22</t>
  </si>
  <si>
    <t xml:space="preserve">ZHEN Yongxiang </t>
  </si>
  <si>
    <t>18116175915</t>
  </si>
  <si>
    <t>VASS V06 Robot</t>
  </si>
  <si>
    <t>2023/04/25: 09:00-12:00</t>
  </si>
  <si>
    <t xml:space="preserve">MA Hongchao </t>
  </si>
  <si>
    <t>18116175722</t>
  </si>
  <si>
    <t>WANG Jian</t>
  </si>
  <si>
    <t>17721336167</t>
  </si>
  <si>
    <t>HAO Xiqiang</t>
  </si>
  <si>
    <t>370781198706224011</t>
  </si>
  <si>
    <t>17721335065</t>
  </si>
  <si>
    <t xml:space="preserve">RONG Jialiang </t>
  </si>
  <si>
    <t>18116175576</t>
  </si>
  <si>
    <t>李文渊</t>
  </si>
  <si>
    <t xml:space="preserve">LI Wenyuan </t>
  </si>
  <si>
    <t>500233199005072159</t>
  </si>
  <si>
    <t>13657636110</t>
  </si>
  <si>
    <t>宋伟</t>
  </si>
  <si>
    <t>SONG Wei</t>
  </si>
  <si>
    <t>220281199706101016</t>
  </si>
  <si>
    <t>18844534662</t>
  </si>
  <si>
    <t>长春九源晟智能科技有限公司</t>
  </si>
  <si>
    <t>Changchun JYS IntelliTech Co., Ltd.</t>
  </si>
  <si>
    <t>于佳航</t>
  </si>
  <si>
    <t>YU Jiahang</t>
  </si>
  <si>
    <t>220182199801091910</t>
  </si>
  <si>
    <t>13578862213</t>
  </si>
  <si>
    <t>张振宇</t>
  </si>
  <si>
    <t>ZHANG Zhenyu</t>
  </si>
  <si>
    <t>220182199603231919</t>
  </si>
  <si>
    <t>18621955440</t>
  </si>
  <si>
    <t>青岛百浪智能装备有限公司</t>
  </si>
  <si>
    <t>Qingdao BeLong Intelligent Equipment Co., LTD</t>
  </si>
  <si>
    <t>赵东</t>
  </si>
  <si>
    <t>ZHAO Dong</t>
  </si>
  <si>
    <t xml:space="preserve">220183199412083411 </t>
  </si>
  <si>
    <t>17621700034</t>
  </si>
  <si>
    <t>李金龙</t>
  </si>
  <si>
    <t>LI Jinlong</t>
  </si>
  <si>
    <t>220802199607295035</t>
  </si>
  <si>
    <t>16643572468</t>
  </si>
  <si>
    <t>宫占坤</t>
  </si>
  <si>
    <t>GONG Zhankun</t>
  </si>
  <si>
    <t>22032219930326561X</t>
  </si>
  <si>
    <t>13844486726</t>
  </si>
  <si>
    <t>林金成</t>
  </si>
  <si>
    <t>LIN Jincheng</t>
  </si>
  <si>
    <t xml:space="preserve"> 220182199512081732</t>
  </si>
  <si>
    <t>18743178222</t>
  </si>
  <si>
    <t>丁帅</t>
  </si>
  <si>
    <t>DING Shuai</t>
  </si>
  <si>
    <t>220582199902200911</t>
  </si>
  <si>
    <t>15584830159</t>
  </si>
  <si>
    <t>张飞</t>
  </si>
  <si>
    <t>ZHANG Fei</t>
  </si>
  <si>
    <t>410328200107269639</t>
  </si>
  <si>
    <t>15038502724</t>
  </si>
  <si>
    <t>2023/04/25: 13:30-16:30</t>
  </si>
  <si>
    <t>姚玉祥</t>
  </si>
  <si>
    <t>YAO Yuxiang</t>
  </si>
  <si>
    <t>412826200104084950</t>
  </si>
  <si>
    <t>18864291827</t>
  </si>
  <si>
    <t>崔宝森</t>
  </si>
  <si>
    <t>CUI Baosen</t>
  </si>
  <si>
    <t>21102219960612231X</t>
  </si>
  <si>
    <t>13065365791</t>
  </si>
  <si>
    <t>杨天奇</t>
  </si>
  <si>
    <t>YANG Tianqi</t>
  </si>
  <si>
    <t>220881199504011314</t>
  </si>
  <si>
    <t>13596179634</t>
  </si>
  <si>
    <t>SHEN Leizhao</t>
  </si>
  <si>
    <t>18731955227</t>
  </si>
  <si>
    <t>陈磊</t>
  </si>
  <si>
    <t>CHEN Lei</t>
  </si>
  <si>
    <t>130633199909214714</t>
  </si>
  <si>
    <t>13472232752</t>
  </si>
  <si>
    <t>YU Tianqi</t>
  </si>
  <si>
    <t>18686548628</t>
  </si>
  <si>
    <t>李松阳</t>
  </si>
  <si>
    <t>LI Songyang</t>
  </si>
  <si>
    <t>220281199609100513</t>
  </si>
  <si>
    <t>17790085485</t>
  </si>
  <si>
    <t>王韵涵</t>
  </si>
  <si>
    <t>WANG Yunhan</t>
  </si>
  <si>
    <t>220106198904299211</t>
  </si>
  <si>
    <t>13844071428</t>
  </si>
  <si>
    <t>库卡柔性系统（上海）有限公司</t>
  </si>
  <si>
    <t>KUKA Systems (China) Co.,Ltd.</t>
  </si>
  <si>
    <t>林乐伟</t>
  </si>
  <si>
    <t>LIN Lewei</t>
  </si>
  <si>
    <t>210603198904231539</t>
  </si>
  <si>
    <t>18917165721</t>
  </si>
  <si>
    <t>未参加考试</t>
  </si>
  <si>
    <t>郭乐乐</t>
  </si>
  <si>
    <t>GUO Lele</t>
  </si>
  <si>
    <t>429005198811133953</t>
  </si>
  <si>
    <t>15308480031</t>
  </si>
  <si>
    <t>王云宇</t>
  </si>
  <si>
    <t>WANG Yunyu</t>
  </si>
  <si>
    <t>230405199311100015</t>
  </si>
  <si>
    <t>18888363097</t>
  </si>
  <si>
    <t>Shanghai Mingsu Electromechanical Engineering Technology Co., Ltd</t>
  </si>
  <si>
    <t>VASS V05 PLC</t>
  </si>
  <si>
    <t>王琪</t>
  </si>
  <si>
    <t>WANG Qi</t>
  </si>
  <si>
    <t>14022620000909355X</t>
  </si>
  <si>
    <t>15135077791</t>
  </si>
  <si>
    <t>李建龙</t>
  </si>
  <si>
    <t>LI Jianlong</t>
  </si>
  <si>
    <t>430528198908245914</t>
  </si>
  <si>
    <t>17721336689</t>
  </si>
  <si>
    <t>VASS V06 PLC</t>
  </si>
  <si>
    <t>2023/04/26: 09:00-12:00</t>
  </si>
  <si>
    <t>邵哲</t>
  </si>
  <si>
    <t>SHAO Zhe</t>
  </si>
  <si>
    <t>410422199010309130</t>
  </si>
  <si>
    <t>18116179191</t>
  </si>
  <si>
    <t>刘家庚</t>
  </si>
  <si>
    <t>LIU Jiageng</t>
  </si>
  <si>
    <t>18116173912</t>
  </si>
  <si>
    <t>周雅露</t>
  </si>
  <si>
    <t>ZOU Yalu</t>
  </si>
  <si>
    <t>420116198408266234</t>
  </si>
  <si>
    <t>18116177396</t>
  </si>
  <si>
    <t>徐博</t>
  </si>
  <si>
    <t>XU Bo</t>
  </si>
  <si>
    <t>220523198610133839</t>
  </si>
  <si>
    <t>15044062982</t>
  </si>
  <si>
    <t>张立成</t>
  </si>
  <si>
    <t>ZHANG Licheng</t>
  </si>
  <si>
    <t>220122198911182513</t>
  </si>
  <si>
    <t>13844976646</t>
  </si>
  <si>
    <t>艾学凯</t>
  </si>
  <si>
    <t>AI Xuekai</t>
  </si>
  <si>
    <t>220182199108183710</t>
  </si>
  <si>
    <t>13331667253</t>
  </si>
  <si>
    <t>张立忠</t>
  </si>
  <si>
    <t>ZHANG Lizhong</t>
  </si>
  <si>
    <t>220503199107140715</t>
  </si>
  <si>
    <t>13134469240</t>
  </si>
  <si>
    <t>冯海洋</t>
  </si>
  <si>
    <t>FENG Haiyang</t>
  </si>
  <si>
    <t>220323199502280018</t>
  </si>
  <si>
    <t>13180630355</t>
  </si>
  <si>
    <t>PAN Song</t>
  </si>
  <si>
    <t>15190124909</t>
  </si>
  <si>
    <t>徐东升</t>
  </si>
  <si>
    <t>XU Dongsheng</t>
  </si>
  <si>
    <t>413026199809261816</t>
  </si>
  <si>
    <t>13137396375</t>
  </si>
  <si>
    <t>苏泽煜</t>
  </si>
  <si>
    <t>SU Zeyu</t>
  </si>
  <si>
    <t>130131200103100617</t>
  </si>
  <si>
    <t>18830320723</t>
  </si>
  <si>
    <t>孙帆</t>
  </si>
  <si>
    <t>SUN Fan</t>
  </si>
  <si>
    <t>372929199903014218</t>
  </si>
  <si>
    <t>15054046683</t>
  </si>
  <si>
    <t>王杰</t>
  </si>
  <si>
    <t>WANG Jie</t>
  </si>
  <si>
    <t>21138220030224261X</t>
  </si>
  <si>
    <t>15840302063</t>
  </si>
  <si>
    <t>2023/04/26: 13:30-16:30</t>
  </si>
  <si>
    <t>于鹏</t>
  </si>
  <si>
    <t>YU Peng</t>
  </si>
  <si>
    <t>211224200106027614</t>
  </si>
  <si>
    <t>15042005821</t>
  </si>
  <si>
    <t>封硕</t>
  </si>
  <si>
    <t>FENG Shuo</t>
  </si>
  <si>
    <t>210304199809040210</t>
  </si>
  <si>
    <t>15141526670</t>
  </si>
  <si>
    <t>高铁林</t>
  </si>
  <si>
    <t>GAO Tielin</t>
  </si>
  <si>
    <t>220183199910051615</t>
  </si>
  <si>
    <t>15144008021</t>
  </si>
  <si>
    <t>李永康</t>
  </si>
  <si>
    <t>LI Yongkang</t>
  </si>
  <si>
    <t>320304199906242418</t>
  </si>
  <si>
    <t>17803894918</t>
  </si>
  <si>
    <t>李杨康</t>
  </si>
  <si>
    <t>LI Yangkang</t>
  </si>
  <si>
    <t>340822199908140937</t>
  </si>
  <si>
    <t>15855663821</t>
  </si>
  <si>
    <t>伏宗政</t>
  </si>
  <si>
    <t>FU Zongzheng</t>
  </si>
  <si>
    <t>220581199409253378</t>
  </si>
  <si>
    <t>17602466630</t>
  </si>
  <si>
    <t>董昌健</t>
  </si>
  <si>
    <t>DONG Changjian</t>
  </si>
  <si>
    <t>410822199702143014</t>
  </si>
  <si>
    <t>18639919960</t>
  </si>
  <si>
    <t>蔡景</t>
  </si>
  <si>
    <t>CAI Jing</t>
  </si>
  <si>
    <t>321302199702281632</t>
  </si>
  <si>
    <t>‘19805271217</t>
  </si>
  <si>
    <t>黄东阁</t>
  </si>
  <si>
    <t>HUANG Dongge</t>
  </si>
  <si>
    <t>320381198512221831</t>
  </si>
  <si>
    <t>18917165792</t>
  </si>
  <si>
    <t>KUKASystems(Shanghai)Co.,Ltd.</t>
  </si>
  <si>
    <t>汪礼鹏</t>
  </si>
  <si>
    <t>WANG Lipeng</t>
  </si>
  <si>
    <t>411522198702230310</t>
  </si>
  <si>
    <t>17516310363</t>
  </si>
  <si>
    <t>王成宇</t>
  </si>
  <si>
    <t>WANG Chengyu</t>
  </si>
  <si>
    <t>220284198202267519</t>
  </si>
  <si>
    <t>18917166049</t>
  </si>
  <si>
    <t>柴树林</t>
  </si>
  <si>
    <t>Chai,shulin</t>
  </si>
  <si>
    <t>222324197501166917</t>
  </si>
  <si>
    <t>2023/07/19:13:30-16:30</t>
  </si>
  <si>
    <t>白清泉</t>
  </si>
  <si>
    <t>Bai,Qingquan</t>
  </si>
  <si>
    <t>230103198301245110</t>
  </si>
  <si>
    <t>马亮</t>
  </si>
  <si>
    <t>Ma,Lang</t>
  </si>
  <si>
    <t>220381199005185830</t>
  </si>
  <si>
    <t>2023/07/18: 09:00-12:00</t>
  </si>
  <si>
    <t>闫松</t>
  </si>
  <si>
    <t>Yan,Song</t>
  </si>
  <si>
    <t>220122199809071117</t>
  </si>
  <si>
    <t>都雪蓬</t>
  </si>
  <si>
    <t>Du,Xuepeng</t>
  </si>
  <si>
    <t>220221200002017130</t>
  </si>
  <si>
    <t>袁振文</t>
  </si>
  <si>
    <t>Yuan,Zhenwen</t>
  </si>
  <si>
    <t>362130198112132715</t>
  </si>
  <si>
    <t>吉林酷铂自动化技术有限公司</t>
  </si>
  <si>
    <t>Jilin Cooper Automation Co. , Ltd.</t>
  </si>
  <si>
    <t>杨雄</t>
  </si>
  <si>
    <t>Yang.Xiong</t>
  </si>
  <si>
    <t>430903199109053317</t>
  </si>
  <si>
    <t>胡志东</t>
  </si>
  <si>
    <t>Hu.Zhidong</t>
  </si>
  <si>
    <t>211322199311164519</t>
  </si>
  <si>
    <t>韩磊</t>
  </si>
  <si>
    <t>Han.Lei</t>
  </si>
  <si>
    <t>211381199208062418</t>
  </si>
  <si>
    <t>韩清州</t>
  </si>
  <si>
    <t>Han.Qingzhou</t>
  </si>
  <si>
    <t>41272820010722491X</t>
  </si>
  <si>
    <t>李宝林</t>
  </si>
  <si>
    <t>Li.Baolin</t>
  </si>
  <si>
    <t>220104198406150913</t>
  </si>
  <si>
    <t>李红岩</t>
  </si>
  <si>
    <t>Li,Hongyan</t>
  </si>
  <si>
    <t>22018219900110295X</t>
  </si>
  <si>
    <t>HeQi Automation Technology Co., Ltd</t>
  </si>
  <si>
    <t>Li,Xin</t>
  </si>
  <si>
    <t>152324199508152113</t>
  </si>
  <si>
    <t>王显蛟</t>
  </si>
  <si>
    <t>Wang,Xianjiao</t>
  </si>
  <si>
    <t>152127199011190315</t>
  </si>
  <si>
    <t>18626640443</t>
  </si>
  <si>
    <t>张宝权</t>
  </si>
  <si>
    <t>Zhang,Baoquan</t>
  </si>
  <si>
    <t>220182198505117210</t>
  </si>
  <si>
    <t>17790059322</t>
  </si>
  <si>
    <t>张学旺</t>
  </si>
  <si>
    <t>Zhang,Xuewang</t>
  </si>
  <si>
    <t>220182199509258410</t>
  </si>
  <si>
    <t>15944027133</t>
  </si>
  <si>
    <t>国庭菘</t>
  </si>
  <si>
    <t>Guo,Tingsong</t>
  </si>
  <si>
    <t>220581200212094014</t>
  </si>
  <si>
    <t>13674456765</t>
  </si>
  <si>
    <t>2023/07/18:13:30-16:30</t>
  </si>
  <si>
    <t>李本通</t>
  </si>
  <si>
    <t>Li,Bentong</t>
  </si>
  <si>
    <t>220122200012068119</t>
  </si>
  <si>
    <t>15348436740</t>
  </si>
  <si>
    <t>赵峰</t>
  </si>
  <si>
    <t>Zhao,Feng</t>
  </si>
  <si>
    <t>220282199511192612</t>
  </si>
  <si>
    <t>15526886499</t>
  </si>
  <si>
    <t>陈梓民</t>
  </si>
  <si>
    <t>Chen,Zimin</t>
  </si>
  <si>
    <t>340621199005060330</t>
  </si>
  <si>
    <t>18156165136</t>
  </si>
  <si>
    <t>ChengDu MICKYS Automation Technology Co., Ltd.</t>
  </si>
  <si>
    <t>15222071621</t>
  </si>
  <si>
    <t>鲁守亮</t>
  </si>
  <si>
    <t>Lu,Shouliang</t>
  </si>
  <si>
    <t>320721200103124817</t>
  </si>
  <si>
    <t>15950703602</t>
  </si>
  <si>
    <t>18043051758</t>
  </si>
  <si>
    <t>13752938522</t>
  </si>
  <si>
    <t>于浩杰</t>
  </si>
  <si>
    <t>Yu,Haojie</t>
  </si>
  <si>
    <t>37028319971216393X</t>
  </si>
  <si>
    <t>15898812248</t>
  </si>
  <si>
    <t>Zhao,Wenxuan</t>
  </si>
  <si>
    <t>13280866605</t>
  </si>
  <si>
    <t>Wu,Guandong</t>
  </si>
  <si>
    <t>18823493598</t>
  </si>
  <si>
    <t>高锰</t>
  </si>
  <si>
    <t>Gao,Meng</t>
  </si>
  <si>
    <t>220724199911284413</t>
  </si>
  <si>
    <t>15944897052</t>
  </si>
  <si>
    <t>王瑞</t>
  </si>
  <si>
    <t>Wang,Rui</t>
  </si>
  <si>
    <t>220181199412301615</t>
  </si>
  <si>
    <t>13844637316</t>
  </si>
  <si>
    <t>张严浩</t>
  </si>
  <si>
    <t>Zhang,Yanhao</t>
  </si>
  <si>
    <t>622625199708071911</t>
  </si>
  <si>
    <t>18294542284</t>
  </si>
  <si>
    <t>王鹏</t>
  </si>
  <si>
    <t>Wang,Peng</t>
  </si>
  <si>
    <t>220322199704022635</t>
  </si>
  <si>
    <t>13843448414</t>
  </si>
  <si>
    <t>邹博</t>
  </si>
  <si>
    <t>Zou,Bo</t>
  </si>
  <si>
    <t>220183199509253819</t>
  </si>
  <si>
    <t>18844534598</t>
  </si>
  <si>
    <t>武新宇</t>
  </si>
  <si>
    <t>Wu,Xinyu</t>
  </si>
  <si>
    <t>220122199901110211</t>
  </si>
  <si>
    <t>15714417726</t>
  </si>
  <si>
    <t>刘嘉琪</t>
  </si>
  <si>
    <t>Liu,Jiaqi</t>
  </si>
  <si>
    <t>220303200112123412</t>
  </si>
  <si>
    <t>15144417389</t>
  </si>
  <si>
    <t>huang,dongge</t>
  </si>
  <si>
    <t>王震</t>
  </si>
  <si>
    <t>wang,zhen</t>
  </si>
  <si>
    <t>220721198801283854</t>
  </si>
  <si>
    <t>15143013321</t>
  </si>
  <si>
    <t>Song,Wei</t>
  </si>
  <si>
    <t>Yu,Jiahang</t>
  </si>
  <si>
    <t>廉瑞</t>
  </si>
  <si>
    <t>Lian,Rui</t>
  </si>
  <si>
    <t>220283199607171513</t>
  </si>
  <si>
    <t>17643246763</t>
  </si>
  <si>
    <t>王兴天</t>
  </si>
  <si>
    <t>Wang,Xingtian</t>
  </si>
  <si>
    <t>220181199801183819</t>
  </si>
  <si>
    <t>13596443583</t>
  </si>
  <si>
    <t>2023/07/19: 09:00-12:00</t>
  </si>
  <si>
    <t>Wang,Fujian</t>
  </si>
  <si>
    <t>Chen,Chongming</t>
  </si>
  <si>
    <t>440223199811233712</t>
  </si>
  <si>
    <t>王春明</t>
  </si>
  <si>
    <t>Wang,Chunming</t>
  </si>
  <si>
    <t xml:space="preserve">220882199506270711 </t>
  </si>
  <si>
    <t>Liu,Zhengwei</t>
  </si>
  <si>
    <t xml:space="preserve"> MOHAMMAD KALEEM</t>
  </si>
  <si>
    <t>Z4734003</t>
  </si>
  <si>
    <t>+91-9555942572</t>
  </si>
  <si>
    <t>SMRE-CHANGCHUN CO.,LTD</t>
  </si>
  <si>
    <t>SAXENA PRIYANK</t>
  </si>
  <si>
    <t>Z6820760</t>
  </si>
  <si>
    <t>+91-9582776433</t>
  </si>
  <si>
    <t>RAJPUT DHARMENDER</t>
  </si>
  <si>
    <t>Z5524869</t>
  </si>
  <si>
    <t>+91-9716120068</t>
  </si>
  <si>
    <t>Zhou. Haolin</t>
  </si>
  <si>
    <t>Leadec Industrial services (Shanghai) Co., Ltd</t>
  </si>
  <si>
    <t>Wu. Chunlai</t>
  </si>
  <si>
    <t>Li.Hai</t>
  </si>
  <si>
    <t>18943644108</t>
  </si>
  <si>
    <t>彭伟国</t>
  </si>
  <si>
    <t>Peng. Weiguo</t>
  </si>
  <si>
    <t>220381198909045035</t>
  </si>
  <si>
    <t>17519452533</t>
  </si>
  <si>
    <t>李守学</t>
  </si>
  <si>
    <t>Li.Shouxue</t>
  </si>
  <si>
    <t>520202198503273011</t>
  </si>
  <si>
    <t>15597870487</t>
  </si>
  <si>
    <t>魏兴伟</t>
  </si>
  <si>
    <t>Wei, Xingwei</t>
  </si>
  <si>
    <t>22032319890212321X</t>
  </si>
  <si>
    <t>15568858788</t>
  </si>
  <si>
    <t>长春弗莱工程技术有限公司</t>
  </si>
  <si>
    <t>Changchun Fulai Engineering Technology Co., Ltd.</t>
  </si>
  <si>
    <t>Du,Lin</t>
  </si>
  <si>
    <t>IFS (Shanghai) Co.,Ltd.</t>
  </si>
  <si>
    <t>2023/07/19: 09:00-12:01</t>
  </si>
  <si>
    <t>孟飞</t>
  </si>
  <si>
    <t>Meng,Fei</t>
  </si>
  <si>
    <t>622827198811070019</t>
  </si>
  <si>
    <t>18516181319</t>
  </si>
  <si>
    <t>2023/07/19: 09:00-12:02</t>
  </si>
  <si>
    <t>Lewei，Lin</t>
  </si>
  <si>
    <t>李亮</t>
  </si>
  <si>
    <t>Li,   Liang</t>
  </si>
  <si>
    <t>22012219950517255X</t>
  </si>
  <si>
    <t>18004302992</t>
  </si>
  <si>
    <t>长春万丰智能工程有限公司</t>
  </si>
  <si>
    <t>ChangChunWanFengZhiNengGongChengYouXianGongSi</t>
  </si>
  <si>
    <t>2023/10/11:13:30-16:30</t>
  </si>
  <si>
    <t>侯萱</t>
  </si>
  <si>
    <t>Hou. Xuan</t>
  </si>
  <si>
    <t>220221199903318314</t>
  </si>
  <si>
    <t>13134449714</t>
  </si>
  <si>
    <t>曲浩然</t>
  </si>
  <si>
    <t>Qu. Haoran</t>
  </si>
  <si>
    <t>220422199808102010</t>
  </si>
  <si>
    <t>15330770811</t>
  </si>
  <si>
    <t>田帅鑫</t>
  </si>
  <si>
    <t>Tian. Shuaixin</t>
  </si>
  <si>
    <t>371082199407181836</t>
  </si>
  <si>
    <t>15543112372</t>
  </si>
  <si>
    <t>武鸿岩</t>
  </si>
  <si>
    <t>Wu. Hongyan</t>
  </si>
  <si>
    <t>230605199610202610</t>
  </si>
  <si>
    <t>18603696312</t>
  </si>
  <si>
    <t>万俊男</t>
  </si>
  <si>
    <t>Wan. Junnan</t>
  </si>
  <si>
    <t>210521199502161074</t>
  </si>
  <si>
    <t>18540184371</t>
  </si>
  <si>
    <t>田得鑫</t>
  </si>
  <si>
    <t>Tian. Dexin</t>
  </si>
  <si>
    <t>220122200211254010</t>
  </si>
  <si>
    <t>15944121846</t>
  </si>
  <si>
    <t>赵崧阳</t>
  </si>
  <si>
    <t>Zhao. Songyang</t>
  </si>
  <si>
    <t>220202200403207219</t>
  </si>
  <si>
    <t>15567576631</t>
  </si>
  <si>
    <t>宫磊</t>
  </si>
  <si>
    <t>Gong. Lei</t>
  </si>
  <si>
    <t>220122199409288130</t>
  </si>
  <si>
    <t>13174355610</t>
  </si>
  <si>
    <t>满逸峰</t>
  </si>
  <si>
    <t>Man. Yifeng</t>
  </si>
  <si>
    <t>220202199907174814</t>
  </si>
  <si>
    <t>15558591277</t>
  </si>
  <si>
    <t>王海平</t>
  </si>
  <si>
    <t>Wang. Haiping</t>
  </si>
  <si>
    <t>22042219990115531X</t>
  </si>
  <si>
    <t>13124378082</t>
  </si>
  <si>
    <t>李晓辉</t>
  </si>
  <si>
    <t>Li. Xiaohui</t>
  </si>
  <si>
    <t>642221200103081035</t>
  </si>
  <si>
    <t>17795456970</t>
  </si>
  <si>
    <t>霍铭</t>
  </si>
  <si>
    <t>Huo. Ming</t>
  </si>
  <si>
    <t>220302200010260612</t>
  </si>
  <si>
    <t>15043411151</t>
  </si>
  <si>
    <t>张旭</t>
  </si>
  <si>
    <t>Zhang. Xu</t>
  </si>
  <si>
    <t>22021120020707091X</t>
  </si>
  <si>
    <t>13654466349</t>
  </si>
  <si>
    <t>Zhang,Peng</t>
  </si>
  <si>
    <t>220183199307095234</t>
  </si>
  <si>
    <t>长春市捷众自动化科技有限公司</t>
  </si>
  <si>
    <t>Changchun Jiezhong Automation Technology Co., Ltd</t>
  </si>
  <si>
    <t>2023/10/12: 09:00-12:00</t>
  </si>
  <si>
    <t>宋文龙</t>
  </si>
  <si>
    <t>Song,Wenlong</t>
  </si>
  <si>
    <t>220182198903193737</t>
  </si>
  <si>
    <t>吴雨轩</t>
  </si>
  <si>
    <t>Wu,Yuxuan</t>
  </si>
  <si>
    <t>22010619951107901X</t>
  </si>
  <si>
    <t>王磊</t>
  </si>
  <si>
    <t>Wang,Lei</t>
  </si>
  <si>
    <t>220821200101013015</t>
  </si>
  <si>
    <t>15543986364</t>
  </si>
  <si>
    <t>王湘德</t>
  </si>
  <si>
    <t>Wang xiangde</t>
  </si>
  <si>
    <t>15042919960926091X</t>
  </si>
  <si>
    <t>上海捷慧自动化设备有限公司</t>
  </si>
  <si>
    <t>Shanghai Jiehui Automation Equipment Co., Ltd</t>
  </si>
  <si>
    <t>张超</t>
  </si>
  <si>
    <t>Zhang, Chao</t>
  </si>
  <si>
    <t>421125199008240037</t>
  </si>
  <si>
    <t>王景华</t>
  </si>
  <si>
    <t>Wang jinghua</t>
  </si>
  <si>
    <t>410822200002050517</t>
  </si>
  <si>
    <t>李军辉</t>
  </si>
  <si>
    <t>Li Junhui</t>
  </si>
  <si>
    <t>412723199606085937</t>
  </si>
  <si>
    <t>何爱东</t>
  </si>
  <si>
    <t>He Aidong</t>
  </si>
  <si>
    <t>361127199911132215</t>
  </si>
  <si>
    <t>张甲</t>
  </si>
  <si>
    <t>Zhang, Jia</t>
  </si>
  <si>
    <t>41132519941115551X</t>
  </si>
  <si>
    <t>张彭坤</t>
  </si>
  <si>
    <t>Zhang Pengkun</t>
  </si>
  <si>
    <t>411321200008070719</t>
  </si>
  <si>
    <t>崔帅龙</t>
  </si>
  <si>
    <t>Cui Shuailong</t>
  </si>
  <si>
    <t>410426200002080517</t>
  </si>
  <si>
    <t>张明彪</t>
  </si>
  <si>
    <t>Zhang mingbiao</t>
  </si>
  <si>
    <t>410822199507084514</t>
  </si>
  <si>
    <t>夏长伟</t>
  </si>
  <si>
    <t>Xia changwei</t>
  </si>
  <si>
    <t>410928200012293014</t>
  </si>
  <si>
    <t>张云飞</t>
  </si>
  <si>
    <t>Zhang, Yunfei</t>
  </si>
  <si>
    <t>220323199405135118</t>
  </si>
  <si>
    <t>15568999011</t>
  </si>
  <si>
    <t>2023/10/12:13:30-16:30</t>
  </si>
  <si>
    <t>李益成</t>
  </si>
  <si>
    <t>li, Yicheng</t>
  </si>
  <si>
    <t>220625199601030013</t>
  </si>
  <si>
    <t>13596777065</t>
  </si>
  <si>
    <t>长春鼎岳工程技术有限公司</t>
  </si>
  <si>
    <t>Changchun Ding Yue Engineering Technology Co.Ltd.</t>
  </si>
  <si>
    <t>王世臣</t>
  </si>
  <si>
    <t>Wang, Shichen</t>
  </si>
  <si>
    <t>22018319880510301X</t>
  </si>
  <si>
    <t>18844099102</t>
  </si>
  <si>
    <t>李清</t>
  </si>
  <si>
    <t>Li, Qing</t>
  </si>
  <si>
    <t>220182199901234915</t>
  </si>
  <si>
    <t>17743094923</t>
  </si>
  <si>
    <t>苏尧</t>
  </si>
  <si>
    <t>Su, Yao</t>
  </si>
  <si>
    <t>220122199903051817</t>
  </si>
  <si>
    <t>18844538141</t>
  </si>
  <si>
    <t>杨琳</t>
  </si>
  <si>
    <t>Yang, Lin</t>
  </si>
  <si>
    <t>220503199407160718</t>
  </si>
  <si>
    <t>18626584897</t>
  </si>
  <si>
    <t>王津昊</t>
  </si>
  <si>
    <t>Wang,Jinhao</t>
  </si>
  <si>
    <t>220103200107232517</t>
  </si>
  <si>
    <t>18004317101</t>
  </si>
  <si>
    <t>赵云龙</t>
  </si>
  <si>
    <t>Zhao,Yunlong</t>
  </si>
  <si>
    <t>230224200312013910</t>
  </si>
  <si>
    <t>13149623580</t>
  </si>
  <si>
    <t>李青豪</t>
  </si>
  <si>
    <t>QingHao,Li</t>
  </si>
  <si>
    <t>510108199403161552</t>
  </si>
  <si>
    <t>17628020016</t>
  </si>
  <si>
    <t>成都慧创行自动化设备有限公司</t>
  </si>
  <si>
    <t>CHENGDU HCX AUTOMATIONEQUIPMENTCO.LTD</t>
  </si>
  <si>
    <t>唐德洋</t>
  </si>
  <si>
    <t>DeYang,Tang</t>
  </si>
  <si>
    <t>510921199108035873</t>
  </si>
  <si>
    <t>15928699489</t>
  </si>
  <si>
    <t>宋卫东</t>
  </si>
  <si>
    <t>Song，Weidong</t>
  </si>
  <si>
    <t>220283199803211914</t>
  </si>
  <si>
    <t>13504755860</t>
  </si>
  <si>
    <t>MKAC</t>
  </si>
  <si>
    <t>卢轶杰</t>
  </si>
  <si>
    <t>Lu，Yijie</t>
  </si>
  <si>
    <t>620503199908075356</t>
  </si>
  <si>
    <t>18719811852</t>
  </si>
  <si>
    <t>瞿厚华</t>
  </si>
  <si>
    <t>Qu,Hou,hua</t>
  </si>
  <si>
    <t>510123200008271937</t>
  </si>
  <si>
    <t>13547855074</t>
  </si>
  <si>
    <t>四川成焊宝玛焊接装备工程有限公司</t>
  </si>
  <si>
    <t>Sichuan BMT Welding Equipment&amp;Engineering Co.,Ltd</t>
  </si>
  <si>
    <t>秦世伟</t>
  </si>
  <si>
    <t>Qin Shiwei</t>
  </si>
  <si>
    <t>220323199412152813</t>
  </si>
  <si>
    <t>15164348043</t>
  </si>
  <si>
    <t>PLC</t>
  </si>
  <si>
    <t>2023/10/13: 09:00-12:00</t>
  </si>
  <si>
    <t>供应商公司个人原因，未能参加考试，已协调至下一季度(2024.1)考试</t>
  </si>
  <si>
    <t>高圣峰</t>
  </si>
  <si>
    <t>Gao Shengfeng</t>
  </si>
  <si>
    <t>220183199804100612</t>
  </si>
  <si>
    <t>15144006277</t>
  </si>
  <si>
    <t>王汉涛</t>
  </si>
  <si>
    <t>Wang Hantao</t>
  </si>
  <si>
    <t>340421199104215616</t>
  </si>
  <si>
    <t>15905543502</t>
  </si>
  <si>
    <t>程珂</t>
  </si>
  <si>
    <t>Cheng Ke</t>
  </si>
  <si>
    <t>340823199008223119</t>
  </si>
  <si>
    <t>13033005810</t>
  </si>
  <si>
    <t>陈勇元</t>
  </si>
  <si>
    <t>Chen Yongyuan</t>
  </si>
  <si>
    <t>370785199609131833</t>
  </si>
  <si>
    <t>17864261032</t>
  </si>
  <si>
    <t>李铸伦</t>
  </si>
  <si>
    <t>LiZhuLun</t>
  </si>
  <si>
    <t>220381199802031113</t>
  </si>
  <si>
    <t>rob vass</t>
  </si>
  <si>
    <t>武成杰</t>
  </si>
  <si>
    <t>WuChengJie</t>
  </si>
  <si>
    <t>220323199503152413</t>
  </si>
  <si>
    <t>李珂</t>
  </si>
  <si>
    <t>LiKe</t>
  </si>
  <si>
    <t>220183199601230011</t>
  </si>
  <si>
    <t>吴滨</t>
  </si>
  <si>
    <t>WuBin</t>
  </si>
  <si>
    <t>220282199406185015</t>
  </si>
  <si>
    <t>李阔</t>
  </si>
  <si>
    <t>LiKuo</t>
  </si>
  <si>
    <t>220323200111126019</t>
  </si>
  <si>
    <t>牟亮</t>
  </si>
  <si>
    <t>MuLiang</t>
  </si>
  <si>
    <t>220122199902067518</t>
  </si>
  <si>
    <t>万里</t>
  </si>
  <si>
    <t>WanlLi</t>
  </si>
  <si>
    <t>220122199201032056</t>
  </si>
  <si>
    <t>韩建</t>
  </si>
  <si>
    <t>HanJian</t>
  </si>
  <si>
    <t>220106198905131410</t>
  </si>
  <si>
    <t>秦兵太</t>
  </si>
  <si>
    <t>Qin Bingtai</t>
  </si>
  <si>
    <t>412827199010058533</t>
  </si>
  <si>
    <t>2023/10/13:13:30-16:30</t>
  </si>
  <si>
    <t>张会双</t>
  </si>
  <si>
    <t>Zhang Huishuang</t>
  </si>
  <si>
    <t>410928198907013319</t>
  </si>
  <si>
    <t>靳先孟</t>
  </si>
  <si>
    <t>Jin Xianmeng</t>
  </si>
  <si>
    <t>410928199701142734</t>
  </si>
  <si>
    <t>陈燕凯</t>
  </si>
  <si>
    <t>Chen Yankai</t>
  </si>
  <si>
    <t>410928199506105751</t>
  </si>
  <si>
    <t>张永龙</t>
  </si>
  <si>
    <t>Zhang Yonglong</t>
  </si>
  <si>
    <t>411528199911065879</t>
  </si>
  <si>
    <t>张银</t>
  </si>
  <si>
    <t>Zhang Yin</t>
  </si>
  <si>
    <t>410781199711212039</t>
  </si>
  <si>
    <t>马晓健</t>
  </si>
  <si>
    <t>Ma Xiaojian</t>
  </si>
  <si>
    <t>130131200103181218</t>
  </si>
  <si>
    <t>阮森</t>
  </si>
  <si>
    <t>Ruan Sen</t>
  </si>
  <si>
    <t>411323200101163410</t>
  </si>
  <si>
    <t>17638232519</t>
  </si>
  <si>
    <r>
      <rPr>
        <sz val="11"/>
        <color theme="1"/>
        <rFont val="等线"/>
      </rPr>
      <t>衣荣鹏</t>
    </r>
  </si>
  <si>
    <t>Yi Rongpeng</t>
  </si>
  <si>
    <t>220183199604276015</t>
  </si>
  <si>
    <t>15943129147</t>
  </si>
  <si>
    <r>
      <rPr>
        <sz val="11"/>
        <color theme="1"/>
        <rFont val="等线"/>
      </rPr>
      <t>大连奥托股份有限公司</t>
    </r>
  </si>
  <si>
    <t>2023/11/29: 09:00-12:00</t>
  </si>
  <si>
    <r>
      <rPr>
        <sz val="11"/>
        <color theme="1"/>
        <rFont val="等线"/>
      </rPr>
      <t>刘迪</t>
    </r>
  </si>
  <si>
    <t>Liu Di</t>
  </si>
  <si>
    <t>22080220000425001X</t>
  </si>
  <si>
    <t>17601160050</t>
  </si>
  <si>
    <r>
      <rPr>
        <sz val="11"/>
        <color theme="1"/>
        <rFont val="等线"/>
      </rPr>
      <t>王鑫</t>
    </r>
  </si>
  <si>
    <t>Wang Xin</t>
  </si>
  <si>
    <t>211382199703101812</t>
  </si>
  <si>
    <t>17615176241</t>
  </si>
  <si>
    <r>
      <rPr>
        <sz val="11"/>
        <color theme="1"/>
        <rFont val="等线"/>
      </rPr>
      <t>廖圣洁</t>
    </r>
  </si>
  <si>
    <t>Liao,shengjie</t>
  </si>
  <si>
    <r>
      <rPr>
        <sz val="11"/>
        <color theme="1"/>
        <rFont val="等线"/>
      </rPr>
      <t>上海勃傲自动化系统有限公司</t>
    </r>
  </si>
  <si>
    <t>B&amp;A automation technology Co., Ltd</t>
    <phoneticPr fontId="6" type="noConversion"/>
  </si>
  <si>
    <r>
      <rPr>
        <sz val="11"/>
        <color theme="1"/>
        <rFont val="等线"/>
      </rPr>
      <t>侯佳臣</t>
    </r>
  </si>
  <si>
    <t>Hou,jiachen</t>
  </si>
  <si>
    <r>
      <rPr>
        <sz val="11"/>
        <color theme="1"/>
        <rFont val="等线"/>
      </rPr>
      <t>王亮</t>
    </r>
  </si>
  <si>
    <t>Wang,liang</t>
  </si>
  <si>
    <t>411522200102020651</t>
  </si>
  <si>
    <t>17633721171</t>
  </si>
  <si>
    <r>
      <rPr>
        <sz val="11"/>
        <color theme="1"/>
        <rFont val="等线"/>
      </rPr>
      <t>余伟煌</t>
    </r>
  </si>
  <si>
    <t>Yu,weihuang</t>
  </si>
  <si>
    <t>341022199909180719</t>
  </si>
  <si>
    <t>17856699370</t>
  </si>
  <si>
    <r>
      <rPr>
        <sz val="11"/>
        <color theme="1"/>
        <rFont val="等线"/>
      </rPr>
      <t>潘传</t>
    </r>
  </si>
  <si>
    <t>Pan,chuan</t>
  </si>
  <si>
    <t>430381200111220059</t>
  </si>
  <si>
    <t>13203231878</t>
  </si>
  <si>
    <r>
      <rPr>
        <sz val="11"/>
        <color theme="1"/>
        <rFont val="等线"/>
      </rPr>
      <t>李双贵</t>
    </r>
  </si>
  <si>
    <t>Li,shuanggui</t>
  </si>
  <si>
    <t>431321200001150138</t>
  </si>
  <si>
    <t>18573851864</t>
  </si>
  <si>
    <r>
      <rPr>
        <sz val="11"/>
        <color theme="1"/>
        <rFont val="等线"/>
      </rPr>
      <t>李玉民</t>
    </r>
  </si>
  <si>
    <t>Li,yumin</t>
  </si>
  <si>
    <t>341125200306024370</t>
  </si>
  <si>
    <r>
      <rPr>
        <sz val="11"/>
        <color theme="1"/>
        <rFont val="等线"/>
      </rPr>
      <t>吴世恒</t>
    </r>
  </si>
  <si>
    <t>Wu,shiheng</t>
  </si>
  <si>
    <t>410181199602100019</t>
  </si>
  <si>
    <r>
      <rPr>
        <sz val="11"/>
        <color theme="1"/>
        <rFont val="等线"/>
      </rPr>
      <t>张林凯</t>
    </r>
  </si>
  <si>
    <t>Zhang,linkai</t>
  </si>
  <si>
    <t>411423199501046010</t>
  </si>
  <si>
    <t>13472556734</t>
  </si>
  <si>
    <r>
      <rPr>
        <sz val="11"/>
        <color theme="1"/>
        <rFont val="等线"/>
      </rPr>
      <t>朱红建</t>
    </r>
  </si>
  <si>
    <t>Zhu,hongjian</t>
  </si>
  <si>
    <t>341226199801016075</t>
  </si>
  <si>
    <r>
      <rPr>
        <sz val="11"/>
        <color theme="1"/>
        <rFont val="等线"/>
      </rPr>
      <t>王洪淘</t>
    </r>
  </si>
  <si>
    <t>Wang,hongtao</t>
  </si>
  <si>
    <t>342221199410070532</t>
  </si>
  <si>
    <r>
      <rPr>
        <sz val="11"/>
        <color theme="1"/>
        <rFont val="等线"/>
      </rPr>
      <t>刘红卫</t>
    </r>
  </si>
  <si>
    <t>Liu,hongwei</t>
  </si>
  <si>
    <t>411481199103194513</t>
  </si>
  <si>
    <t>18521788523</t>
  </si>
  <si>
    <t>2023/11/29: 13:30-16:30</t>
  </si>
  <si>
    <r>
      <rPr>
        <sz val="11"/>
        <color theme="1"/>
        <rFont val="等线"/>
      </rPr>
      <t>赵世慧</t>
    </r>
  </si>
  <si>
    <t>Zhao,shihui</t>
  </si>
  <si>
    <t>36230119931103453x</t>
  </si>
  <si>
    <t>18817358975</t>
  </si>
  <si>
    <r>
      <rPr>
        <sz val="11"/>
        <color theme="1"/>
        <rFont val="等线"/>
      </rPr>
      <t>刘和雷</t>
    </r>
  </si>
  <si>
    <t>Liu,helei</t>
  </si>
  <si>
    <t>341226198412172934</t>
  </si>
  <si>
    <t>13817665069</t>
  </si>
  <si>
    <r>
      <rPr>
        <sz val="11"/>
        <color theme="1"/>
        <rFont val="等线"/>
      </rPr>
      <t>马俊峰</t>
    </r>
  </si>
  <si>
    <t>Ma,junfeng</t>
  </si>
  <si>
    <t>430726199009094617</t>
  </si>
  <si>
    <t>18521788506</t>
  </si>
  <si>
    <r>
      <rPr>
        <sz val="11"/>
        <color theme="1"/>
        <rFont val="等线"/>
        <family val="2"/>
      </rPr>
      <t>张孟军</t>
    </r>
  </si>
  <si>
    <t>Zhang, Mengjun</t>
    <phoneticPr fontId="7" type="noConversion"/>
  </si>
  <si>
    <t>140221199802241012</t>
    <phoneticPr fontId="7" type="noConversion"/>
  </si>
  <si>
    <t>18404305148</t>
    <phoneticPr fontId="7" type="noConversion"/>
  </si>
  <si>
    <r>
      <rPr>
        <sz val="11"/>
        <color theme="1"/>
        <rFont val="等线"/>
        <family val="2"/>
        <charset val="134"/>
      </rPr>
      <t>吉林省玛尔斯科技有限公司</t>
    </r>
  </si>
  <si>
    <t>Jilin Mars Science and Technology Co.,Ltd.</t>
    <phoneticPr fontId="6" type="noConversion"/>
  </si>
  <si>
    <t>王瑚</t>
    <phoneticPr fontId="7" type="noConversion"/>
  </si>
  <si>
    <t>Wang hu</t>
  </si>
  <si>
    <t>421125198701290070</t>
  </si>
  <si>
    <t>15618988027</t>
  </si>
  <si>
    <t>卢会生</t>
  </si>
  <si>
    <t>Lu huisheng</t>
  </si>
  <si>
    <t>230623199908270635</t>
  </si>
  <si>
    <t>18245548455</t>
  </si>
  <si>
    <t>李洪斌</t>
  </si>
  <si>
    <t>Li hongbin</t>
  </si>
  <si>
    <t>230902199903021714</t>
  </si>
  <si>
    <t>15146550655</t>
  </si>
  <si>
    <t>贾锐明</t>
  </si>
  <si>
    <t>Jia ruiming</t>
  </si>
  <si>
    <t>412728199608207514</t>
  </si>
  <si>
    <t>17603941020</t>
  </si>
  <si>
    <r>
      <rPr>
        <sz val="11"/>
        <color theme="1"/>
        <rFont val="宋体"/>
        <family val="3"/>
        <charset val="134"/>
      </rPr>
      <t>房尚兵</t>
    </r>
  </si>
  <si>
    <t>FangShangbing</t>
  </si>
  <si>
    <t>342626199210020876</t>
  </si>
  <si>
    <t>安徽巨一科技股份有限公司</t>
    <phoneticPr fontId="11" type="noConversion"/>
  </si>
  <si>
    <t>JEE Technology Co .,Ltd</t>
  </si>
  <si>
    <r>
      <rPr>
        <sz val="11"/>
        <color theme="1"/>
        <rFont val="宋体"/>
        <family val="3"/>
        <charset val="134"/>
      </rPr>
      <t>林想成</t>
    </r>
  </si>
  <si>
    <t xml:space="preserve">Lin xiangcheng </t>
  </si>
  <si>
    <t>340322199811013811</t>
  </si>
  <si>
    <r>
      <rPr>
        <sz val="11"/>
        <color theme="1"/>
        <rFont val="宋体"/>
        <family val="3"/>
        <charset val="134"/>
      </rPr>
      <t>吴国梁</t>
    </r>
  </si>
  <si>
    <t>WuGuoliang</t>
  </si>
  <si>
    <t>340823199509081219</t>
  </si>
  <si>
    <r>
      <rPr>
        <sz val="11"/>
        <color theme="1"/>
        <rFont val="宋体"/>
        <family val="3"/>
        <charset val="134"/>
      </rPr>
      <t>邵珠聚</t>
    </r>
  </si>
  <si>
    <t>ShaoZhuju</t>
    <phoneticPr fontId="10" type="noConversion"/>
  </si>
  <si>
    <t>34222119950108151X</t>
    <phoneticPr fontId="10" type="noConversion"/>
  </si>
  <si>
    <r>
      <rPr>
        <sz val="11"/>
        <color theme="1"/>
        <rFont val="宋体"/>
        <family val="3"/>
        <charset val="134"/>
      </rPr>
      <t>江易澄</t>
    </r>
  </si>
  <si>
    <t>JiangYicheng</t>
    <phoneticPr fontId="10" type="noConversion"/>
  </si>
  <si>
    <t>342201199210294915</t>
    <phoneticPr fontId="10" type="noConversion"/>
  </si>
  <si>
    <t>缺考，延至下次报名</t>
  </si>
  <si>
    <r>
      <rPr>
        <sz val="11"/>
        <color theme="1"/>
        <rFont val="宋体"/>
        <family val="3"/>
        <charset val="134"/>
      </rPr>
      <t>王开放</t>
    </r>
  </si>
  <si>
    <t>2023/11/30: 09:00-12:00</t>
  </si>
  <si>
    <r>
      <rPr>
        <sz val="11"/>
        <color theme="1"/>
        <rFont val="等线"/>
        <family val="3"/>
        <charset val="134"/>
      </rPr>
      <t>吕永亮</t>
    </r>
  </si>
  <si>
    <t>LvYongliang</t>
  </si>
  <si>
    <t>412829199801094437</t>
  </si>
  <si>
    <r>
      <rPr>
        <sz val="11"/>
        <color theme="1"/>
        <rFont val="等线"/>
        <family val="3"/>
        <charset val="134"/>
      </rPr>
      <t>袁永明</t>
    </r>
  </si>
  <si>
    <t>YuanYongming</t>
  </si>
  <si>
    <t>340824199005154636</t>
  </si>
  <si>
    <r>
      <rPr>
        <sz val="11"/>
        <color theme="1"/>
        <rFont val="宋体"/>
        <family val="3"/>
        <charset val="134"/>
      </rPr>
      <t>刘翰林</t>
    </r>
  </si>
  <si>
    <t>LiuHanlin</t>
    <phoneticPr fontId="13" type="noConversion"/>
  </si>
  <si>
    <t>13018419990101151X</t>
    <phoneticPr fontId="13" type="noConversion"/>
  </si>
  <si>
    <r>
      <rPr>
        <sz val="11"/>
        <color theme="1"/>
        <rFont val="宋体"/>
        <family val="3"/>
        <charset val="134"/>
      </rPr>
      <t>盛杨</t>
    </r>
  </si>
  <si>
    <t>ShengYang</t>
    <phoneticPr fontId="13" type="noConversion"/>
  </si>
  <si>
    <t>340111199311224532</t>
    <phoneticPr fontId="13" type="noConversion"/>
  </si>
  <si>
    <r>
      <rPr>
        <sz val="11"/>
        <color theme="1"/>
        <rFont val="宋体"/>
        <family val="3"/>
        <charset val="134"/>
      </rPr>
      <t>张许</t>
    </r>
  </si>
  <si>
    <t>ZhangXu</t>
    <phoneticPr fontId="13" type="noConversion"/>
  </si>
  <si>
    <t>340402199708291418</t>
    <phoneticPr fontId="13" type="noConversion"/>
  </si>
  <si>
    <r>
      <rPr>
        <sz val="11"/>
        <color theme="1"/>
        <rFont val="宋体"/>
        <family val="3"/>
        <charset val="134"/>
      </rPr>
      <t>胡泉</t>
    </r>
  </si>
  <si>
    <t>HuQuan</t>
    <phoneticPr fontId="13" type="noConversion"/>
  </si>
  <si>
    <t>340122199307176792</t>
    <phoneticPr fontId="13" type="noConversion"/>
  </si>
  <si>
    <t>吴锁</t>
  </si>
  <si>
    <t>WuSuo</t>
  </si>
  <si>
    <t>342221199610175013</t>
  </si>
  <si>
    <r>
      <rPr>
        <sz val="11"/>
        <color theme="1"/>
        <rFont val="宋体"/>
        <family val="3"/>
        <charset val="134"/>
      </rPr>
      <t>徐美林</t>
    </r>
  </si>
  <si>
    <t>XuMeilin</t>
    <phoneticPr fontId="13" type="noConversion"/>
  </si>
  <si>
    <t>340827199302172338</t>
    <phoneticPr fontId="13" type="noConversion"/>
  </si>
  <si>
    <r>
      <rPr>
        <sz val="11"/>
        <color theme="1"/>
        <rFont val="宋体"/>
        <family val="3"/>
        <charset val="134"/>
      </rPr>
      <t>张少将</t>
    </r>
  </si>
  <si>
    <t>ZhangShaojiang</t>
    <phoneticPr fontId="13" type="noConversion"/>
  </si>
  <si>
    <t>340621199704102835</t>
    <phoneticPr fontId="13" type="noConversion"/>
  </si>
  <si>
    <r>
      <rPr>
        <sz val="11"/>
        <color theme="1"/>
        <rFont val="宋体"/>
        <family val="3"/>
        <charset val="134"/>
      </rPr>
      <t>刘晗</t>
    </r>
  </si>
  <si>
    <t>LiuHan</t>
    <phoneticPr fontId="13" type="noConversion"/>
  </si>
  <si>
    <t>342422199509287579</t>
    <phoneticPr fontId="13" type="noConversion"/>
  </si>
  <si>
    <r>
      <rPr>
        <sz val="11"/>
        <color theme="1"/>
        <rFont val="宋体"/>
        <family val="3"/>
        <charset val="134"/>
      </rPr>
      <t>顾强</t>
    </r>
  </si>
  <si>
    <t>GuQiang</t>
    <phoneticPr fontId="13" type="noConversion"/>
  </si>
  <si>
    <t>340321200003073137</t>
    <phoneticPr fontId="13" type="noConversion"/>
  </si>
  <si>
    <r>
      <rPr>
        <sz val="11"/>
        <color theme="1"/>
        <rFont val="宋体"/>
        <family val="3"/>
        <charset val="134"/>
      </rPr>
      <t>周志华</t>
    </r>
  </si>
  <si>
    <t>ZhouZhihua</t>
    <phoneticPr fontId="13" type="noConversion"/>
  </si>
  <si>
    <t>340122198808014279</t>
    <phoneticPr fontId="13" type="noConversion"/>
  </si>
  <si>
    <r>
      <rPr>
        <sz val="11"/>
        <color theme="1"/>
        <rFont val="宋体"/>
        <family val="3"/>
        <charset val="134"/>
      </rPr>
      <t>李剑</t>
    </r>
  </si>
  <si>
    <t>LiJian</t>
    <phoneticPr fontId="13" type="noConversion"/>
  </si>
  <si>
    <t>34122520000228155X</t>
    <phoneticPr fontId="13" type="noConversion"/>
  </si>
  <si>
    <r>
      <rPr>
        <sz val="11"/>
        <color theme="1"/>
        <rFont val="宋体"/>
        <family val="3"/>
        <charset val="134"/>
      </rPr>
      <t>孙奇</t>
    </r>
  </si>
  <si>
    <t>SunQi</t>
    <phoneticPr fontId="13" type="noConversion"/>
  </si>
  <si>
    <t>341222199610243253</t>
    <phoneticPr fontId="13" type="noConversion"/>
  </si>
  <si>
    <t>2023/11/30: 13:30-16:30</t>
  </si>
  <si>
    <r>
      <rPr>
        <sz val="11"/>
        <color theme="1"/>
        <rFont val="宋体"/>
        <family val="3"/>
        <charset val="134"/>
      </rPr>
      <t>孟庆广</t>
    </r>
  </si>
  <si>
    <t>MengQingguang</t>
    <phoneticPr fontId="13" type="noConversion"/>
  </si>
  <si>
    <t>341221200002147857</t>
    <phoneticPr fontId="13" type="noConversion"/>
  </si>
  <si>
    <t>曾志拓</t>
  </si>
  <si>
    <t>ZengZhituo</t>
  </si>
  <si>
    <t>429006199701247918</t>
  </si>
  <si>
    <r>
      <rPr>
        <sz val="11"/>
        <color theme="1"/>
        <rFont val="宋体"/>
        <family val="3"/>
        <charset val="134"/>
      </rPr>
      <t>赵晨阳</t>
    </r>
  </si>
  <si>
    <t>ZhaoChenyang</t>
    <phoneticPr fontId="13" type="noConversion"/>
  </si>
  <si>
    <t>341221199812088996</t>
    <phoneticPr fontId="13" type="noConversion"/>
  </si>
  <si>
    <r>
      <rPr>
        <sz val="11"/>
        <color theme="1"/>
        <rFont val="宋体"/>
        <family val="3"/>
        <charset val="134"/>
      </rPr>
      <t>陶林</t>
    </r>
  </si>
  <si>
    <r>
      <rPr>
        <sz val="11"/>
        <color theme="1"/>
        <rFont val="宋体"/>
        <family val="3"/>
        <charset val="134"/>
      </rPr>
      <t>王运</t>
    </r>
  </si>
  <si>
    <t>Wang Yun</t>
  </si>
  <si>
    <t>342401200101018256</t>
  </si>
  <si>
    <r>
      <rPr>
        <sz val="11"/>
        <color theme="1"/>
        <rFont val="宋体"/>
        <family val="3"/>
        <charset val="134"/>
      </rPr>
      <t>龙袁</t>
    </r>
  </si>
  <si>
    <t>Long Yuan</t>
  </si>
  <si>
    <t>500225199708256755</t>
  </si>
  <si>
    <r>
      <rPr>
        <sz val="11"/>
        <color theme="1"/>
        <rFont val="宋体"/>
        <family val="3"/>
        <charset val="134"/>
      </rPr>
      <t>李亚伟</t>
    </r>
  </si>
  <si>
    <t xml:space="preserve">LiYawei </t>
    <phoneticPr fontId="10" type="noConversion"/>
  </si>
  <si>
    <t>412721199108213059</t>
  </si>
  <si>
    <r>
      <rPr>
        <sz val="11"/>
        <color theme="1"/>
        <rFont val="宋体"/>
      </rPr>
      <t>周庆峰</t>
    </r>
  </si>
  <si>
    <t>Zhouqingfeng</t>
  </si>
  <si>
    <t>220722199009053431</t>
  </si>
  <si>
    <r>
      <rPr>
        <sz val="11"/>
        <color theme="1"/>
        <rFont val="宋体"/>
      </rPr>
      <t>安平宇</t>
    </r>
  </si>
  <si>
    <t>Anpingyu</t>
  </si>
  <si>
    <t>220381199009017017</t>
  </si>
  <si>
    <t>赵明宇</t>
    <phoneticPr fontId="6" type="noConversion"/>
  </si>
  <si>
    <t>Zhaomingyu</t>
  </si>
  <si>
    <t>220422199811181215</t>
  </si>
  <si>
    <r>
      <rPr>
        <sz val="11"/>
        <color theme="1"/>
        <rFont val="宋体"/>
      </rPr>
      <t>迟运廷</t>
    </r>
  </si>
  <si>
    <t>Chiyunting</t>
  </si>
  <si>
    <t>220625199505131519</t>
  </si>
  <si>
    <t>魏世桢</t>
    <phoneticPr fontId="6" type="noConversion"/>
  </si>
  <si>
    <t>Weishizhen</t>
  </si>
  <si>
    <t>131182199701286015</t>
  </si>
  <si>
    <t>季业</t>
    <phoneticPr fontId="6" type="noConversion"/>
  </si>
  <si>
    <t>Jiye</t>
  </si>
  <si>
    <t>150403199905304813</t>
  </si>
  <si>
    <r>
      <rPr>
        <sz val="11"/>
        <color theme="1"/>
        <rFont val="宋体"/>
      </rPr>
      <t>刘超</t>
    </r>
  </si>
  <si>
    <t>Liuchao</t>
  </si>
  <si>
    <t>37030619930219471X</t>
  </si>
  <si>
    <t>2023/12/1: 09:00-12:00</t>
  </si>
  <si>
    <r>
      <rPr>
        <sz val="11"/>
        <color theme="1"/>
        <rFont val="宋体"/>
      </rPr>
      <t>马迪</t>
    </r>
  </si>
  <si>
    <t>MaDi</t>
  </si>
  <si>
    <t>220211199405270917</t>
  </si>
  <si>
    <r>
      <rPr>
        <sz val="11"/>
        <color theme="1"/>
        <rFont val="宋体"/>
      </rPr>
      <t>田雨轩</t>
    </r>
  </si>
  <si>
    <t>TIanYuXuan</t>
  </si>
  <si>
    <t>22072420040503541X</t>
  </si>
  <si>
    <r>
      <rPr>
        <sz val="11"/>
        <color theme="1"/>
        <rFont val="宋体"/>
      </rPr>
      <t>乔砼</t>
    </r>
  </si>
  <si>
    <t>QiaoTong</t>
  </si>
  <si>
    <t>220183200303161818</t>
  </si>
  <si>
    <r>
      <rPr>
        <sz val="11"/>
        <color theme="1"/>
        <rFont val="宋体"/>
      </rPr>
      <t>张政</t>
    </r>
  </si>
  <si>
    <t>ZhangZheng</t>
  </si>
  <si>
    <t>220882200101191316</t>
  </si>
  <si>
    <r>
      <rPr>
        <sz val="11"/>
        <color theme="1"/>
        <rFont val="宋体"/>
      </rPr>
      <t>刘孝全</t>
    </r>
  </si>
  <si>
    <t>LiuXiaoQuan</t>
  </si>
  <si>
    <t>220721200301420815</t>
  </si>
  <si>
    <r>
      <rPr>
        <sz val="11"/>
        <color theme="1"/>
        <rFont val="宋体"/>
      </rPr>
      <t>董克庆</t>
    </r>
  </si>
  <si>
    <t>DongKeQing</t>
  </si>
  <si>
    <t>220122199801085354</t>
  </si>
  <si>
    <r>
      <rPr>
        <sz val="11"/>
        <color theme="1"/>
        <rFont val="宋体"/>
      </rPr>
      <t>王加壮</t>
    </r>
  </si>
  <si>
    <t>WangJiaZhuang</t>
  </si>
  <si>
    <t>372926199502031819</t>
  </si>
  <si>
    <r>
      <rPr>
        <sz val="11"/>
        <color theme="1"/>
        <rFont val="等线"/>
      </rPr>
      <t>国庭菘</t>
    </r>
  </si>
  <si>
    <t>Tingsong Guo</t>
    <phoneticPr fontId="7" type="noConversion"/>
  </si>
  <si>
    <t>220581200212094014</t>
    <phoneticPr fontId="7" type="noConversion"/>
  </si>
  <si>
    <t>13674456765</t>
    <phoneticPr fontId="7" type="noConversion"/>
  </si>
  <si>
    <r>
      <rPr>
        <sz val="11"/>
        <color theme="1"/>
        <rFont val="等线"/>
        <family val="2"/>
        <charset val="134"/>
      </rPr>
      <t>长春市和企自动化科技有限公司</t>
    </r>
  </si>
  <si>
    <t>Changchun HeQi automation technology Co., Ltd</t>
    <phoneticPr fontId="6" type="noConversion"/>
  </si>
  <si>
    <r>
      <rPr>
        <sz val="11"/>
        <color theme="1"/>
        <rFont val="等线"/>
        <family val="2"/>
        <charset val="134"/>
      </rPr>
      <t>李本通</t>
    </r>
  </si>
  <si>
    <t>Bentong Li</t>
    <phoneticPr fontId="7" type="noConversion"/>
  </si>
  <si>
    <t>220122200012068119</t>
    <phoneticPr fontId="7" type="noConversion"/>
  </si>
  <si>
    <t>15348436740</t>
    <phoneticPr fontId="7" type="noConversion"/>
  </si>
  <si>
    <r>
      <rPr>
        <sz val="11"/>
        <color theme="1"/>
        <rFont val="等线"/>
        <family val="2"/>
      </rPr>
      <t>曹鹏</t>
    </r>
  </si>
  <si>
    <t>Peng Cao</t>
    <phoneticPr fontId="7" type="noConversion"/>
  </si>
  <si>
    <t>220381199602071110</t>
    <phoneticPr fontId="7" type="noConversion"/>
  </si>
  <si>
    <t>18443128713</t>
    <phoneticPr fontId="7" type="noConversion"/>
  </si>
  <si>
    <r>
      <rPr>
        <sz val="11"/>
        <color theme="1"/>
        <rFont val="等线"/>
        <family val="2"/>
      </rPr>
      <t>米帅</t>
    </r>
  </si>
  <si>
    <t>Shuai Mi</t>
    <phoneticPr fontId="7" type="noConversion"/>
  </si>
  <si>
    <t>220581200112154315</t>
    <phoneticPr fontId="7" type="noConversion"/>
  </si>
  <si>
    <t>18744572762</t>
    <phoneticPr fontId="7" type="noConversion"/>
  </si>
  <si>
    <r>
      <rPr>
        <sz val="11"/>
        <color theme="1"/>
        <rFont val="等线"/>
        <family val="2"/>
      </rPr>
      <t>张思博</t>
    </r>
  </si>
  <si>
    <t>Sibo Zhang</t>
    <phoneticPr fontId="7" type="noConversion"/>
  </si>
  <si>
    <t>22028420000511621X</t>
    <phoneticPr fontId="7" type="noConversion"/>
  </si>
  <si>
    <t>18243152140</t>
    <phoneticPr fontId="7" type="noConversion"/>
  </si>
  <si>
    <r>
      <rPr>
        <sz val="11"/>
        <color theme="1"/>
        <rFont val="等线"/>
        <family val="2"/>
      </rPr>
      <t>赵峰</t>
    </r>
  </si>
  <si>
    <t>Feng Zhao</t>
    <phoneticPr fontId="7" type="noConversion"/>
  </si>
  <si>
    <t>220282199511192612</t>
    <phoneticPr fontId="7" type="noConversion"/>
  </si>
  <si>
    <t>15526886499</t>
    <phoneticPr fontId="7" type="noConversion"/>
  </si>
  <si>
    <r>
      <rPr>
        <sz val="11"/>
        <color theme="1"/>
        <rFont val="等线"/>
        <family val="2"/>
      </rPr>
      <t>饶海潮</t>
    </r>
  </si>
  <si>
    <t>Haichao Rao</t>
    <phoneticPr fontId="7" type="noConversion"/>
  </si>
  <si>
    <t>320382199006067094</t>
    <phoneticPr fontId="7" type="noConversion"/>
  </si>
  <si>
    <t>18251776165</t>
    <phoneticPr fontId="7" type="noConversion"/>
  </si>
  <si>
    <t>2023/12/1: 13:30-16:30</t>
  </si>
  <si>
    <r>
      <rPr>
        <sz val="11"/>
        <color theme="1"/>
        <rFont val="等线"/>
        <family val="2"/>
      </rPr>
      <t>钱王杨</t>
    </r>
  </si>
  <si>
    <t>Wangyang Qian</t>
  </si>
  <si>
    <t>321282199310030611</t>
    <phoneticPr fontId="7" type="noConversion"/>
  </si>
  <si>
    <t>13815987509</t>
    <phoneticPr fontId="7" type="noConversion"/>
  </si>
  <si>
    <r>
      <rPr>
        <sz val="11"/>
        <color theme="1"/>
        <rFont val="等线"/>
      </rPr>
      <t>洪新强</t>
    </r>
  </si>
  <si>
    <t>Hong xin qiang</t>
  </si>
  <si>
    <t>34102119901119435X</t>
  </si>
  <si>
    <t>15843026028</t>
  </si>
  <si>
    <r>
      <rPr>
        <sz val="11"/>
        <color theme="1"/>
        <rFont val="等线"/>
        <family val="2"/>
        <charset val="134"/>
      </rPr>
      <t>吉林省酷铂自动化技术有限公司</t>
    </r>
  </si>
  <si>
    <t>JiLin KUBO automation technology Co., Ltd</t>
    <phoneticPr fontId="6" type="noConversion"/>
  </si>
  <si>
    <r>
      <rPr>
        <sz val="11"/>
        <color theme="1"/>
        <rFont val="等线"/>
        <family val="2"/>
        <charset val="134"/>
      </rPr>
      <t>徐剑</t>
    </r>
  </si>
  <si>
    <t>Xu jian</t>
  </si>
  <si>
    <t>342601199403062418</t>
  </si>
  <si>
    <r>
      <rPr>
        <sz val="11"/>
        <color theme="1"/>
        <rFont val="等线"/>
      </rPr>
      <t>常军</t>
    </r>
  </si>
  <si>
    <t>Chang jun</t>
  </si>
  <si>
    <t>420822199211075514</t>
  </si>
  <si>
    <t>15557621107</t>
  </si>
  <si>
    <r>
      <rPr>
        <sz val="11"/>
        <color theme="1"/>
        <rFont val="等线"/>
      </rPr>
      <t>韩辉</t>
    </r>
  </si>
  <si>
    <t>Han hui</t>
  </si>
  <si>
    <t>370181200102022133</t>
  </si>
  <si>
    <t>18764056055</t>
    <phoneticPr fontId="7" type="noConversion"/>
  </si>
  <si>
    <r>
      <rPr>
        <sz val="11"/>
        <color theme="1"/>
        <rFont val="等线"/>
        <family val="3"/>
        <charset val="134"/>
      </rPr>
      <t>吴启强</t>
    </r>
  </si>
  <si>
    <t xml:space="preserve">Wu Qiqiang </t>
    <phoneticPr fontId="7" type="noConversion"/>
  </si>
  <si>
    <t>342921199409261612</t>
    <phoneticPr fontId="7" type="noConversion"/>
  </si>
  <si>
    <t>15656599528</t>
    <phoneticPr fontId="7" type="noConversion"/>
  </si>
  <si>
    <r>
      <rPr>
        <sz val="11"/>
        <color theme="1"/>
        <rFont val="等线"/>
        <family val="3"/>
        <charset val="134"/>
      </rPr>
      <t>伍德付</t>
    </r>
  </si>
  <si>
    <t>Wu Defu</t>
    <phoneticPr fontId="7" type="noConversion"/>
  </si>
  <si>
    <t>340881199211205016</t>
    <phoneticPr fontId="7" type="noConversion"/>
  </si>
  <si>
    <r>
      <rPr>
        <sz val="11"/>
        <color theme="1"/>
        <rFont val="等线"/>
        <family val="3"/>
        <charset val="134"/>
      </rPr>
      <t>李维康</t>
    </r>
  </si>
  <si>
    <t>Li  Weikang</t>
    <phoneticPr fontId="7" type="noConversion"/>
  </si>
  <si>
    <t>431321200001193314</t>
    <phoneticPr fontId="7" type="noConversion"/>
  </si>
  <si>
    <t>13023340179</t>
    <phoneticPr fontId="7" type="noConversion"/>
  </si>
  <si>
    <r>
      <rPr>
        <sz val="11"/>
        <color theme="1"/>
        <rFont val="等线"/>
        <family val="3"/>
        <charset val="134"/>
      </rPr>
      <t>张士杰</t>
    </r>
  </si>
  <si>
    <t>Zhang Shijie</t>
    <phoneticPr fontId="7" type="noConversion"/>
  </si>
  <si>
    <t>341324200211141536</t>
  </si>
  <si>
    <t>18949157363</t>
    <phoneticPr fontId="7" type="noConversion"/>
  </si>
  <si>
    <r>
      <rPr>
        <sz val="11"/>
        <color theme="1"/>
        <rFont val="等线"/>
        <family val="2"/>
        <charset val="134"/>
      </rPr>
      <t>董艾晔</t>
    </r>
  </si>
  <si>
    <t>Dong aiye</t>
  </si>
  <si>
    <t>130202199509258316</t>
  </si>
  <si>
    <r>
      <rPr>
        <sz val="11"/>
        <color theme="1"/>
        <rFont val="等线"/>
        <family val="2"/>
      </rPr>
      <t>李天宇</t>
    </r>
  </si>
  <si>
    <t>Li tianyu</t>
  </si>
  <si>
    <t>130637200201242737</t>
  </si>
  <si>
    <t>17303151665</t>
  </si>
  <si>
    <r>
      <rPr>
        <sz val="11"/>
        <color theme="1"/>
        <rFont val="等线"/>
        <family val="2"/>
      </rPr>
      <t>王波</t>
    </r>
  </si>
  <si>
    <t>Wang Bo</t>
    <phoneticPr fontId="7" type="noConversion"/>
  </si>
  <si>
    <t>341122200306160613</t>
    <phoneticPr fontId="7" type="noConversion"/>
  </si>
  <si>
    <r>
      <rPr>
        <sz val="11"/>
        <color theme="1"/>
        <rFont val="等线"/>
        <family val="2"/>
      </rPr>
      <t>于海航</t>
    </r>
  </si>
  <si>
    <t>Yu Haihang</t>
    <phoneticPr fontId="7" type="noConversion"/>
  </si>
  <si>
    <t>220721200206224817</t>
    <phoneticPr fontId="7" type="noConversion"/>
  </si>
  <si>
    <t>13670667894</t>
    <phoneticPr fontId="7" type="noConversion"/>
  </si>
  <si>
    <t>刘超</t>
    <phoneticPr fontId="15" type="noConversion"/>
  </si>
  <si>
    <t>LiuChao</t>
    <phoneticPr fontId="15" type="noConversion"/>
  </si>
  <si>
    <t>340321199801169293</t>
    <phoneticPr fontId="15" type="noConversion"/>
  </si>
  <si>
    <t>28/11/2023：13:30-16:30</t>
  </si>
  <si>
    <t>3/1/2024：13:30-16:30</t>
    <phoneticPr fontId="69" type="noConversion"/>
  </si>
  <si>
    <t>吴广洋</t>
  </si>
  <si>
    <t>Wu Guangyang</t>
  </si>
  <si>
    <t>22012219950429431X</t>
  </si>
  <si>
    <t>谷文强</t>
  </si>
  <si>
    <t>Gu Wenqiang</t>
  </si>
  <si>
    <t>13022720001019001X</t>
  </si>
  <si>
    <t>毛洪申</t>
  </si>
  <si>
    <t>Mao, Hongshen</t>
  </si>
  <si>
    <t>22012219840510351X</t>
  </si>
  <si>
    <t>18686492587</t>
  </si>
  <si>
    <t>changchun wanfeng Intelligent Engineering Co.,Ltd</t>
  </si>
  <si>
    <t>于洋</t>
  </si>
  <si>
    <t>Yu, Yang</t>
  </si>
  <si>
    <t>220102198807175211</t>
  </si>
  <si>
    <t>13514461400</t>
  </si>
  <si>
    <t>胡美含</t>
  </si>
  <si>
    <t>Hu, Meihan</t>
  </si>
  <si>
    <t>230622200108270062</t>
  </si>
  <si>
    <t>13199419801</t>
  </si>
  <si>
    <t>孙志博</t>
  </si>
  <si>
    <t>Sun, Zhibo</t>
  </si>
  <si>
    <t>220422200112213519</t>
  </si>
  <si>
    <t>18504371107</t>
  </si>
  <si>
    <t>臧传欣</t>
  </si>
  <si>
    <t>Zang，Chuanxin</t>
  </si>
  <si>
    <t>220281200101061029</t>
  </si>
  <si>
    <t>18629920146</t>
  </si>
  <si>
    <t>王宏星</t>
  </si>
  <si>
    <t>Wang ，Hongxing</t>
  </si>
  <si>
    <t>130823200008125611</t>
  </si>
  <si>
    <t>18679247263</t>
  </si>
  <si>
    <t>江易澄</t>
  </si>
  <si>
    <t>JiangYicheng</t>
  </si>
  <si>
    <t>342201199210294915</t>
  </si>
  <si>
    <t>4/1/2024：09:00-12:00</t>
  </si>
  <si>
    <t>邹家文</t>
  </si>
  <si>
    <t>ZouJiawen</t>
  </si>
  <si>
    <t>321321199304184852</t>
  </si>
  <si>
    <t>吕永亮</t>
  </si>
  <si>
    <t>姚佳琪</t>
  </si>
  <si>
    <t>YaoJiaqi</t>
  </si>
  <si>
    <t>431281200204076610</t>
  </si>
  <si>
    <t>李智超</t>
  </si>
  <si>
    <t>Li Zhichao</t>
  </si>
  <si>
    <t>42102319911015871X</t>
  </si>
  <si>
    <t>柯马（上海）工程有限公司</t>
  </si>
  <si>
    <t>Comau (Shanghai) Engineering Co., Ltd</t>
  </si>
  <si>
    <t>任艺</t>
  </si>
  <si>
    <t>Ren Yi</t>
  </si>
  <si>
    <t>310109198606224538</t>
  </si>
  <si>
    <t>杨兴</t>
  </si>
  <si>
    <t>Yang Xing</t>
  </si>
  <si>
    <t>340321199510208934</t>
  </si>
  <si>
    <t>许广升</t>
  </si>
  <si>
    <t>Xu Guangsheng</t>
  </si>
  <si>
    <t>340303198108250037</t>
  </si>
  <si>
    <t>谢卫华</t>
  </si>
  <si>
    <t>Xie.weihua</t>
  </si>
  <si>
    <t>362531200109130610</t>
  </si>
  <si>
    <t>15946921617</t>
  </si>
  <si>
    <t>朱阿勇</t>
  </si>
  <si>
    <t>Zhu,Ayong</t>
  </si>
  <si>
    <t>411481198904096636</t>
  </si>
  <si>
    <t>138 1604 9218</t>
  </si>
  <si>
    <t>上海起问汽车科技有限公司</t>
  </si>
  <si>
    <t>Shanghai Qiwen Automotive Technology Co.Ltd</t>
  </si>
  <si>
    <t>4/1/2024：13:30-16:30</t>
  </si>
  <si>
    <t>严弟银</t>
  </si>
  <si>
    <t>Yan, Diyin</t>
  </si>
  <si>
    <t>532326200110011213</t>
  </si>
  <si>
    <t>130 9994 9413</t>
  </si>
  <si>
    <t>17682373060</t>
  </si>
  <si>
    <t xml:space="preserve">qichuang </t>
  </si>
  <si>
    <t>17377643363</t>
  </si>
  <si>
    <t>田旭</t>
  </si>
  <si>
    <t>Tian, Xu</t>
  </si>
  <si>
    <t>220182199712207619</t>
  </si>
  <si>
    <t>15944825886</t>
  </si>
  <si>
    <t>党俭</t>
  </si>
  <si>
    <t>Dang, Jian</t>
  </si>
  <si>
    <t>210922200009091512</t>
  </si>
  <si>
    <t>15041866033</t>
  </si>
  <si>
    <t>李文禹</t>
  </si>
  <si>
    <t>Li, Wenyu</t>
  </si>
  <si>
    <t>220122199810034313</t>
  </si>
  <si>
    <t>18043395956</t>
  </si>
  <si>
    <t>Wang,Jiahuan</t>
  </si>
  <si>
    <t>Wang,Yanchao</t>
  </si>
  <si>
    <t>Li,Wanpeng</t>
  </si>
  <si>
    <t>李峻锋</t>
  </si>
  <si>
    <t>Li,Junfeng</t>
  </si>
  <si>
    <t>422826199810271012</t>
  </si>
  <si>
    <t>史贺峰</t>
  </si>
  <si>
    <t>Shi,Hefeng</t>
  </si>
  <si>
    <t>220382199812101636</t>
  </si>
  <si>
    <t>刘正旭</t>
  </si>
  <si>
    <t>Liu,Zhengxu</t>
  </si>
  <si>
    <t>232303199901105231</t>
  </si>
  <si>
    <t>文涛</t>
  </si>
  <si>
    <t>Wen,Tao</t>
  </si>
  <si>
    <t>432503199906298018</t>
  </si>
  <si>
    <t>张明</t>
  </si>
  <si>
    <t>Zhang,Ming</t>
  </si>
  <si>
    <t>220104198906020912</t>
  </si>
  <si>
    <t>13390876676</t>
  </si>
  <si>
    <t>上海莜克智能科技有限公司</t>
  </si>
  <si>
    <t>Shanghai UKE Intelligent Technology Co, Ltd</t>
  </si>
  <si>
    <t>5/1/2024：09:00-12:00</t>
  </si>
  <si>
    <t>李新龙</t>
  </si>
  <si>
    <t>Li,Xinlong</t>
  </si>
  <si>
    <t>610326199208052219</t>
  </si>
  <si>
    <t>15162330841</t>
  </si>
  <si>
    <t>夏良军</t>
  </si>
  <si>
    <t>liangjunxia</t>
  </si>
  <si>
    <t>220621198810212411</t>
  </si>
  <si>
    <t>刘一波</t>
  </si>
  <si>
    <t>220381199712265813</t>
  </si>
  <si>
    <t>13804374703</t>
  </si>
  <si>
    <t>龙博文</t>
  </si>
  <si>
    <t>220502200302161019</t>
  </si>
  <si>
    <t>18946505317</t>
  </si>
  <si>
    <t>张国强</t>
  </si>
  <si>
    <t>ZhangGuoqiang</t>
  </si>
  <si>
    <t>220623198609201115</t>
  </si>
  <si>
    <t>18626627580</t>
  </si>
  <si>
    <t>孙伟龙</t>
  </si>
  <si>
    <t>SunWeilong</t>
  </si>
  <si>
    <t>222403198905152317</t>
  </si>
  <si>
    <t>18186800380</t>
  </si>
  <si>
    <t>姜多</t>
  </si>
  <si>
    <t>JiangDuo</t>
  </si>
  <si>
    <t>210521199309290771</t>
  </si>
  <si>
    <t>17614016922</t>
  </si>
  <si>
    <t>焦明阳</t>
  </si>
  <si>
    <t>JiaoMingyang</t>
  </si>
  <si>
    <t>220724199501022015</t>
  </si>
  <si>
    <t>15922820606</t>
  </si>
  <si>
    <t>刘松</t>
  </si>
  <si>
    <t>LiuSong</t>
  </si>
  <si>
    <t>220122199606192517</t>
  </si>
  <si>
    <t>17644045503</t>
  </si>
  <si>
    <t>李英男</t>
  </si>
  <si>
    <t>LiYingnan</t>
  </si>
  <si>
    <t>220122199508091819</t>
  </si>
  <si>
    <t>18843042640</t>
  </si>
  <si>
    <t>孙皓</t>
  </si>
  <si>
    <t>SunHao</t>
  </si>
  <si>
    <t>220621199509240215</t>
  </si>
  <si>
    <t>13998124406</t>
  </si>
  <si>
    <t>姚吉祥</t>
  </si>
  <si>
    <t>YaoJixiang</t>
  </si>
  <si>
    <t>220181200104243818</t>
  </si>
  <si>
    <t>15981019660</t>
  </si>
  <si>
    <t>杨辉</t>
  </si>
  <si>
    <t>YangHui</t>
  </si>
  <si>
    <t>222403199303207493</t>
  </si>
  <si>
    <t>13069128321</t>
  </si>
  <si>
    <t>5/1/2024：13:30-16:30</t>
  </si>
  <si>
    <t>邹威颜</t>
  </si>
  <si>
    <t>ZouWeiyan</t>
  </si>
  <si>
    <t>220323200011237213</t>
  </si>
  <si>
    <t>15981072360</t>
  </si>
  <si>
    <t>杜汉钰</t>
  </si>
  <si>
    <t>DuHanyu</t>
  </si>
  <si>
    <t>220702199602289415</t>
  </si>
  <si>
    <t>17649994427</t>
  </si>
  <si>
    <t>贾兴旺</t>
  </si>
  <si>
    <t>JiaXingwang</t>
  </si>
  <si>
    <t>220721200210061838</t>
  </si>
  <si>
    <t>17079765444</t>
  </si>
  <si>
    <t>吴鑫哲</t>
  </si>
  <si>
    <t>Wu,Xinzhe</t>
  </si>
  <si>
    <t>152321199806161510</t>
  </si>
  <si>
    <t>朱家南</t>
  </si>
  <si>
    <t>Zhu,Jianan</t>
  </si>
  <si>
    <t>412726199902091636</t>
  </si>
  <si>
    <t>马钒超</t>
  </si>
  <si>
    <t>Ma,Fanchao</t>
  </si>
  <si>
    <t>220881200312061910</t>
  </si>
  <si>
    <t>孙纯杰</t>
  </si>
  <si>
    <t>Sun,Chunjie</t>
  </si>
  <si>
    <t>370181200108156810</t>
  </si>
  <si>
    <t>张馨宇</t>
  </si>
  <si>
    <t>Zhang,Xinyu</t>
  </si>
  <si>
    <t>130922200301080810</t>
  </si>
  <si>
    <t>李东辉</t>
  </si>
  <si>
    <t>Li,Donghui</t>
  </si>
  <si>
    <t>220323200204060039</t>
  </si>
  <si>
    <t>李晓魁</t>
  </si>
  <si>
    <t>Li,Xiaokui</t>
  </si>
  <si>
    <t>41032220000420181X</t>
  </si>
  <si>
    <t>温春宇</t>
  </si>
  <si>
    <t>Wen, Chuanyu</t>
  </si>
  <si>
    <t>220182200103032919</t>
  </si>
  <si>
    <t>15704421095</t>
  </si>
  <si>
    <t>长春杰维技术有限公司</t>
  </si>
  <si>
    <t>Changchun Jiewei Technology Co., Ltd</t>
  </si>
  <si>
    <t>11/4/2024：09:00-12:00</t>
  </si>
  <si>
    <t>郑明</t>
  </si>
  <si>
    <t>Zheng, Ming</t>
  </si>
  <si>
    <t>220381200208083610</t>
  </si>
  <si>
    <t>13069020930</t>
  </si>
  <si>
    <t>李春超</t>
  </si>
  <si>
    <t>Li, Chunchao</t>
  </si>
  <si>
    <t>230505200004020411</t>
  </si>
  <si>
    <t>17504695356</t>
  </si>
  <si>
    <t>董奇</t>
  </si>
  <si>
    <t>Dong, Qi</t>
  </si>
  <si>
    <t>220182199707127016</t>
  </si>
  <si>
    <t>18686525443</t>
  </si>
  <si>
    <t>罗军</t>
  </si>
  <si>
    <t>Luo, Jun</t>
  </si>
  <si>
    <t>220104198901200076</t>
  </si>
  <si>
    <t>15843023011</t>
  </si>
  <si>
    <t>姜云宝</t>
  </si>
  <si>
    <t>Jiang, Yunbao</t>
  </si>
  <si>
    <t>220183200003225613</t>
  </si>
  <si>
    <t>15844170494</t>
  </si>
  <si>
    <t>陈振华</t>
  </si>
  <si>
    <t>Chen, Zhenhua</t>
  </si>
  <si>
    <t>220203198310172412</t>
  </si>
  <si>
    <t>13843088419</t>
  </si>
  <si>
    <t>长春奔腾瑞马自动化有限公司</t>
  </si>
  <si>
    <t>PENTANOVA Automation Ltd.</t>
  </si>
  <si>
    <t>许波</t>
  </si>
  <si>
    <t>Xu, Bo</t>
  </si>
  <si>
    <t>220106198503019258</t>
  </si>
  <si>
    <t>18686425896</t>
  </si>
  <si>
    <t>邓亮</t>
  </si>
  <si>
    <t>Deng, Liang</t>
  </si>
  <si>
    <t>510122198109296272</t>
  </si>
  <si>
    <t>18108141006</t>
  </si>
  <si>
    <t>戴兴龙</t>
  </si>
  <si>
    <t>Dai, Xinglong</t>
  </si>
  <si>
    <t>220284199004296217</t>
  </si>
  <si>
    <t>13504423293</t>
  </si>
  <si>
    <t>延期</t>
  </si>
  <si>
    <t>姚辰</t>
  </si>
  <si>
    <t>Yao, Chen</t>
  </si>
  <si>
    <t>220402198602273615</t>
  </si>
  <si>
    <t>13756679208</t>
  </si>
  <si>
    <t>崔龙阁</t>
  </si>
  <si>
    <t>Cui, Longge</t>
  </si>
  <si>
    <t>222406198707307110</t>
  </si>
  <si>
    <t>18943176652</t>
  </si>
  <si>
    <t>李萌</t>
  </si>
  <si>
    <t>Li, Meng</t>
  </si>
  <si>
    <t>220284199511063012</t>
  </si>
  <si>
    <t>15754324079</t>
  </si>
  <si>
    <t>邹庆冬</t>
  </si>
  <si>
    <t>Zou, Qingdong</t>
  </si>
  <si>
    <t>220881199007112114</t>
  </si>
  <si>
    <t>15844030876</t>
  </si>
  <si>
    <t>何威</t>
  </si>
  <si>
    <t>He.Wei</t>
  </si>
  <si>
    <t>500235199802031176</t>
  </si>
  <si>
    <t>15215219400</t>
  </si>
  <si>
    <t>重庆集成天智机器人有限公司</t>
  </si>
  <si>
    <t>Chongqing Jichengtianzhi Robot Co.,Ltd.</t>
  </si>
  <si>
    <t>11/4/2024：13:30-16:30</t>
  </si>
  <si>
    <t>王红果</t>
  </si>
  <si>
    <t>Wang,Hongguo</t>
  </si>
  <si>
    <t>372922198410103416</t>
  </si>
  <si>
    <t>18562800184</t>
  </si>
  <si>
    <t>Yuan,Lei</t>
  </si>
  <si>
    <t xml:space="preserve">370883198910264414 </t>
  </si>
  <si>
    <t>13465880909</t>
  </si>
  <si>
    <t>崔骋野</t>
  </si>
  <si>
    <t>Cui,Chengye</t>
  </si>
  <si>
    <t>152104199012150935</t>
  </si>
  <si>
    <t>15921695557</t>
  </si>
  <si>
    <t>Ren,Kairui</t>
  </si>
  <si>
    <t>18260438090</t>
  </si>
  <si>
    <t>杨盛林</t>
  </si>
  <si>
    <t>Yang,Shenglin</t>
  </si>
  <si>
    <t>370982199710093896</t>
  </si>
  <si>
    <t>13356866067</t>
  </si>
  <si>
    <t>赵岩</t>
  </si>
  <si>
    <t>Zhao,Yan</t>
  </si>
  <si>
    <t>411421199602090018</t>
  </si>
  <si>
    <t>17854206661</t>
  </si>
  <si>
    <t>夏王涛</t>
  </si>
  <si>
    <t>Xia,Wangtao</t>
  </si>
  <si>
    <t>370284199108022133</t>
  </si>
  <si>
    <t>13793289119</t>
  </si>
  <si>
    <t>梅铁男</t>
  </si>
  <si>
    <t>Mei,Tienan</t>
  </si>
  <si>
    <t>220182198801200414</t>
  </si>
  <si>
    <t>15104432744</t>
  </si>
  <si>
    <t>长春嘉技自动化科技有限公司</t>
  </si>
  <si>
    <t>Changchun Jiaji Automation Technology Co., Ltd</t>
  </si>
  <si>
    <t>邱闯</t>
  </si>
  <si>
    <t>Qiu Chuang</t>
  </si>
  <si>
    <t>22028319921027061X</t>
  </si>
  <si>
    <t>13756131809</t>
  </si>
  <si>
    <t>上海慕为技术工程股份有限公司</t>
  </si>
  <si>
    <t>Shanghai Muwei Technology Engineering Inc., Ltd.</t>
  </si>
  <si>
    <t>王承港</t>
  </si>
  <si>
    <t>Wang Chenggang</t>
  </si>
  <si>
    <t>420822199705255216</t>
  </si>
  <si>
    <t>13113257265</t>
  </si>
  <si>
    <t>王威</t>
  </si>
  <si>
    <t>Wang Wei</t>
  </si>
  <si>
    <t>421126199604292219</t>
  </si>
  <si>
    <t>17771426791</t>
  </si>
  <si>
    <t>吴小杰</t>
  </si>
  <si>
    <t>Wu Xiaojie</t>
  </si>
  <si>
    <t>430424199106287411</t>
  </si>
  <si>
    <t>19957470356</t>
  </si>
  <si>
    <t>肖琦</t>
  </si>
  <si>
    <t>Xiao Qi</t>
  </si>
  <si>
    <t>420114198605180058</t>
  </si>
  <si>
    <t>18672307657</t>
  </si>
  <si>
    <t>姚勇</t>
  </si>
  <si>
    <t>Yao Yong</t>
  </si>
  <si>
    <t>421123198907132817</t>
  </si>
  <si>
    <t>18372122946</t>
  </si>
  <si>
    <t>12/4/2024：09:00-12:00</t>
  </si>
  <si>
    <t>Li,Qinghao</t>
  </si>
  <si>
    <t>延至第三季度考试</t>
  </si>
  <si>
    <t>Tang,Deyang</t>
  </si>
  <si>
    <t>张成杰</t>
  </si>
  <si>
    <t>Zhang, Chengjie</t>
  </si>
  <si>
    <t>511025199009185451</t>
  </si>
  <si>
    <t>17828119286</t>
  </si>
  <si>
    <t>周祥</t>
  </si>
  <si>
    <t>Zhou,Xiang</t>
  </si>
  <si>
    <t>510106199708305534</t>
  </si>
  <si>
    <t>15008417753</t>
  </si>
  <si>
    <t>VASS V05 Robot</t>
  </si>
  <si>
    <t>张金阁</t>
  </si>
  <si>
    <t>zhang jinge</t>
  </si>
  <si>
    <t>320323197910102215</t>
  </si>
  <si>
    <t>15358832079</t>
  </si>
  <si>
    <t>杨慎涛</t>
  </si>
  <si>
    <t>Yang shentao</t>
  </si>
  <si>
    <t>320321200109302619</t>
  </si>
  <si>
    <t>17744554045</t>
  </si>
  <si>
    <t>董志伟</t>
  </si>
  <si>
    <t>Dong zhiwei</t>
  </si>
  <si>
    <t>220182199909063110</t>
  </si>
  <si>
    <t>15543513860</t>
  </si>
  <si>
    <t>22/7/2024：13:30-16:30</t>
  </si>
  <si>
    <t>何国印</t>
  </si>
  <si>
    <t>He,guoyin</t>
  </si>
  <si>
    <t>342423199501112877</t>
  </si>
  <si>
    <t>18956422776</t>
  </si>
  <si>
    <t>李超宇</t>
  </si>
  <si>
    <t>Li,Chaoyu</t>
  </si>
  <si>
    <t>340803199612282419</t>
  </si>
  <si>
    <t>15255651077</t>
  </si>
  <si>
    <t>Zou,Jiawen</t>
  </si>
  <si>
    <t>19352783598</t>
  </si>
  <si>
    <t>刘明金</t>
  </si>
  <si>
    <t>Liu,Mingjin</t>
  </si>
  <si>
    <t>210381199406194111</t>
  </si>
  <si>
    <t>18631567636</t>
  </si>
  <si>
    <t>杨雪松</t>
  </si>
  <si>
    <t>Yang,Xuesong</t>
  </si>
  <si>
    <t>340123199911150835</t>
  </si>
  <si>
    <t>17333009742</t>
  </si>
  <si>
    <t>朱结兵</t>
  </si>
  <si>
    <t>Zhu,Jiebing</t>
  </si>
  <si>
    <t>340826199509041419</t>
  </si>
  <si>
    <t>19392833343</t>
  </si>
  <si>
    <t>江正权</t>
  </si>
  <si>
    <t>Jiang,Zhengquan</t>
  </si>
  <si>
    <t>340123199304077699</t>
  </si>
  <si>
    <t>18856261580</t>
  </si>
  <si>
    <t>Zheng，Haimeng</t>
  </si>
  <si>
    <t>17521244120</t>
  </si>
  <si>
    <t>路均</t>
  </si>
  <si>
    <t>LU,Jun</t>
  </si>
  <si>
    <t>411381198908104554</t>
  </si>
  <si>
    <t>18605658671</t>
  </si>
  <si>
    <t>Chen,Ming</t>
  </si>
  <si>
    <t>342201199901264117</t>
  </si>
  <si>
    <t>18175088448</t>
  </si>
  <si>
    <t>信刘帅</t>
  </si>
  <si>
    <t>Xin,Liushuai</t>
  </si>
  <si>
    <t>340322199408044650</t>
  </si>
  <si>
    <t>15055618221</t>
  </si>
  <si>
    <t>乔雅娣</t>
  </si>
  <si>
    <t>Qiao,Yadi</t>
  </si>
  <si>
    <t>340322199911051639</t>
  </si>
  <si>
    <t>15055184733</t>
  </si>
  <si>
    <t>Chen,Yongyuan</t>
  </si>
  <si>
    <t>缺考，报考公司未提前说明原由</t>
  </si>
  <si>
    <t>杜富强</t>
  </si>
  <si>
    <t>Du,Fuqiang</t>
  </si>
  <si>
    <t>341126199912042035</t>
  </si>
  <si>
    <t>18133454376</t>
  </si>
  <si>
    <t>23/7/2024：09:00-12:00</t>
  </si>
  <si>
    <t>Jiang,Yicheng</t>
  </si>
  <si>
    <t>15055197573</t>
  </si>
  <si>
    <t>吴心鹏</t>
  </si>
  <si>
    <t>WuXinpeng</t>
  </si>
  <si>
    <t>370306198111204730</t>
  </si>
  <si>
    <t>15921316809</t>
  </si>
  <si>
    <t>WangLei</t>
  </si>
  <si>
    <t>342501199604251551</t>
  </si>
  <si>
    <t>18130270994</t>
  </si>
  <si>
    <t>郑智文</t>
  </si>
  <si>
    <t>ZhengZhiwen</t>
  </si>
  <si>
    <t>341224199808194314</t>
  </si>
  <si>
    <t>18326732401</t>
  </si>
  <si>
    <t>张迪</t>
  </si>
  <si>
    <t>Zhang,Di</t>
  </si>
  <si>
    <t>220182199012183716</t>
  </si>
  <si>
    <t>18043678062</t>
  </si>
  <si>
    <t>李铸轮</t>
  </si>
  <si>
    <t>Li,Zhulun</t>
  </si>
  <si>
    <t>18343108513</t>
  </si>
  <si>
    <t>420704200109080154</t>
  </si>
  <si>
    <t>17720455408</t>
  </si>
  <si>
    <t>尚明鑫</t>
  </si>
  <si>
    <t>Shang，Mingxin</t>
  </si>
  <si>
    <t>22240319990810741X</t>
  </si>
  <si>
    <t>13144994479</t>
  </si>
  <si>
    <t>杨猛</t>
  </si>
  <si>
    <t>Yang,Meng</t>
  </si>
  <si>
    <t>412822199410226215</t>
  </si>
  <si>
    <t>15539681199</t>
  </si>
  <si>
    <t>李高坤</t>
  </si>
  <si>
    <t>Li,Gaokun</t>
  </si>
  <si>
    <t>412723199602138632</t>
  </si>
  <si>
    <t>15225708389</t>
  </si>
  <si>
    <t>张福康</t>
  </si>
  <si>
    <t>Zhang,Fukang</t>
  </si>
  <si>
    <t>340122199009091213</t>
  </si>
  <si>
    <t>18010853112</t>
  </si>
  <si>
    <t>刘晗</t>
  </si>
  <si>
    <t>Liu,Han</t>
  </si>
  <si>
    <t>342422199509287579</t>
  </si>
  <si>
    <t>18856966745</t>
  </si>
  <si>
    <t>倪顶亮</t>
  </si>
  <si>
    <t>Ni,Dingliang</t>
  </si>
  <si>
    <t>342901199909250615</t>
  </si>
  <si>
    <t>18074137396</t>
  </si>
  <si>
    <t>熊予唯</t>
  </si>
  <si>
    <t>Xiong,Yuwei</t>
  </si>
  <si>
    <t>510502199909017818</t>
  </si>
  <si>
    <t>18308321140</t>
  </si>
  <si>
    <t>23/7/2024：13:30-16:30</t>
  </si>
  <si>
    <t>魏亮</t>
  </si>
  <si>
    <t>Wei,Liang</t>
  </si>
  <si>
    <t>341226199604016914</t>
  </si>
  <si>
    <t>19856549937</t>
  </si>
  <si>
    <t>葛凡彪</t>
  </si>
  <si>
    <t>Ge,Fanbiao</t>
  </si>
  <si>
    <t>341225199506107138</t>
  </si>
  <si>
    <t>18134661609</t>
  </si>
  <si>
    <t>黎杰</t>
  </si>
  <si>
    <t>Li,Jie</t>
  </si>
  <si>
    <t>421202199902126213</t>
  </si>
  <si>
    <t>18120360472</t>
  </si>
  <si>
    <t>杨赓</t>
  </si>
  <si>
    <t>Yang,Geng</t>
  </si>
  <si>
    <t>430621199909301813</t>
  </si>
  <si>
    <t>18973000060</t>
  </si>
  <si>
    <t>杨世焱</t>
  </si>
  <si>
    <t>Yang,Shiyan</t>
  </si>
  <si>
    <t>421023200008016630</t>
  </si>
  <si>
    <t>15027030286</t>
  </si>
  <si>
    <t>张爵如</t>
  </si>
  <si>
    <t>Zhang,Jueru</t>
  </si>
  <si>
    <t>342626198509061299</t>
  </si>
  <si>
    <t>15345692952</t>
  </si>
  <si>
    <t>孙晓建</t>
  </si>
  <si>
    <t>Sun,Xiaojian</t>
  </si>
  <si>
    <t>130928199612251018</t>
  </si>
  <si>
    <t>18833747573</t>
  </si>
  <si>
    <t>李乔</t>
  </si>
  <si>
    <t>Li,Qiao</t>
  </si>
  <si>
    <t>342422200010300514</t>
  </si>
  <si>
    <t>19159586676</t>
  </si>
  <si>
    <t>Li, Bentong</t>
  </si>
  <si>
    <t>Changchun HeQi automation technology Co., Ltd</t>
  </si>
  <si>
    <t>张岩</t>
  </si>
  <si>
    <t>Zhang, Yan</t>
  </si>
  <si>
    <t>220122199610250417</t>
  </si>
  <si>
    <t>15044139015</t>
  </si>
  <si>
    <t>米帅</t>
  </si>
  <si>
    <t>Mi, Shuai</t>
  </si>
  <si>
    <t>220581200112154315</t>
  </si>
  <si>
    <t>18744572762</t>
  </si>
  <si>
    <t>付德昌</t>
  </si>
  <si>
    <t>Fu, Dechang</t>
  </si>
  <si>
    <t>371422200303211317</t>
  </si>
  <si>
    <t>17515025133</t>
  </si>
  <si>
    <t>姚利博</t>
  </si>
  <si>
    <t>Yao, Libo</t>
  </si>
  <si>
    <t>220102200211181813</t>
  </si>
  <si>
    <t>18584380186</t>
  </si>
  <si>
    <t>李龙</t>
  </si>
  <si>
    <t>LiLong</t>
  </si>
  <si>
    <t>220211198803124515</t>
  </si>
  <si>
    <t>13843124241</t>
  </si>
  <si>
    <t>24/7/2024：09:00-12:00</t>
  </si>
  <si>
    <t>冯毅</t>
  </si>
  <si>
    <t>FengYi</t>
  </si>
  <si>
    <t>142725199303120851</t>
  </si>
  <si>
    <t>13357229433</t>
  </si>
  <si>
    <t>ZhangXu</t>
  </si>
  <si>
    <t>220183200009056419</t>
  </si>
  <si>
    <t>18946612883</t>
  </si>
  <si>
    <t>安旭</t>
  </si>
  <si>
    <t>AnXu</t>
  </si>
  <si>
    <t>220183200309157019</t>
  </si>
  <si>
    <t>15948149953</t>
  </si>
  <si>
    <t>李文浩</t>
  </si>
  <si>
    <t>LiWenhao</t>
  </si>
  <si>
    <t>220422199807255314</t>
  </si>
  <si>
    <t>18643053686</t>
  </si>
  <si>
    <t>林山博</t>
  </si>
  <si>
    <t>LinShanbo</t>
  </si>
  <si>
    <t>220122199801223534</t>
  </si>
  <si>
    <t>13843806057</t>
  </si>
  <si>
    <t>王帅</t>
  </si>
  <si>
    <t>WangShuai</t>
  </si>
  <si>
    <t>22022120020820867X</t>
  </si>
  <si>
    <t>13234439659</t>
  </si>
  <si>
    <t>胡维兵</t>
  </si>
  <si>
    <t>HuWeibing</t>
  </si>
  <si>
    <t>220183199504036831</t>
  </si>
  <si>
    <t>17679282814</t>
  </si>
  <si>
    <t>张英强</t>
  </si>
  <si>
    <t>Zhang, Yingqiang</t>
  </si>
  <si>
    <t>341323200202120956</t>
  </si>
  <si>
    <t>13056291797</t>
  </si>
  <si>
    <t>张欣鑫</t>
  </si>
  <si>
    <t>Zhang, Xinxin</t>
  </si>
  <si>
    <t>22011219960906143X</t>
  </si>
  <si>
    <t>15044118242</t>
  </si>
  <si>
    <t>341126199407080030</t>
  </si>
  <si>
    <t>13966734584</t>
  </si>
  <si>
    <t>邱顺</t>
  </si>
  <si>
    <t>Qiu,Shun</t>
  </si>
  <si>
    <t>320324199810195915</t>
  </si>
  <si>
    <t>15952242246</t>
  </si>
  <si>
    <t>杨夫辽</t>
  </si>
  <si>
    <t>Yang,Fuliao</t>
  </si>
  <si>
    <t>342224199302181832</t>
  </si>
  <si>
    <t>15555311932</t>
  </si>
  <si>
    <t>肖明</t>
  </si>
  <si>
    <t>Xiao,Ming</t>
  </si>
  <si>
    <t>341225200206204396</t>
  </si>
  <si>
    <t>孙年</t>
  </si>
  <si>
    <t>Sun,Nian</t>
  </si>
  <si>
    <t>420984199602128411</t>
  </si>
  <si>
    <t>17551064270</t>
  </si>
  <si>
    <t>24/7/2024：13:30-16:30</t>
  </si>
  <si>
    <t>甘俊</t>
  </si>
  <si>
    <t>Gan,Jun</t>
  </si>
  <si>
    <t>340826199110055675</t>
  </si>
  <si>
    <t>15055164123</t>
  </si>
  <si>
    <t>林磊</t>
  </si>
  <si>
    <t>Lin,Lei</t>
  </si>
  <si>
    <t>510823199809178313</t>
  </si>
  <si>
    <t>13408398512</t>
  </si>
  <si>
    <t>朱震东</t>
  </si>
  <si>
    <t>Zhu, Zhendong</t>
    <phoneticPr fontId="10" type="noConversion"/>
  </si>
  <si>
    <t>320582199610264511</t>
    <phoneticPr fontId="10" type="noConversion"/>
  </si>
  <si>
    <t>17368458614</t>
    <phoneticPr fontId="10" type="noConversion"/>
  </si>
  <si>
    <t>天奇自动化工程股份有限公司</t>
    <phoneticPr fontId="10" type="noConversion"/>
  </si>
  <si>
    <t xml:space="preserve"> Miracle Automation Engineering Co., Ltd.</t>
    <phoneticPr fontId="10" type="noConversion"/>
  </si>
  <si>
    <t>21/10/2024：13:30-16:30</t>
  </si>
  <si>
    <t>朱之豪</t>
  </si>
  <si>
    <t>Zhu, Zhihao</t>
    <phoneticPr fontId="10" type="noConversion"/>
  </si>
  <si>
    <t>371321199709177932</t>
    <phoneticPr fontId="10" type="noConversion"/>
  </si>
  <si>
    <t>13954931330</t>
    <phoneticPr fontId="10" type="noConversion"/>
  </si>
  <si>
    <t>薛海东</t>
  </si>
  <si>
    <t>Xue, Haidong</t>
    <phoneticPr fontId="10" type="noConversion"/>
  </si>
  <si>
    <t>52012320000822303X</t>
    <phoneticPr fontId="10" type="noConversion"/>
  </si>
  <si>
    <t>17715423989</t>
    <phoneticPr fontId="10" type="noConversion"/>
  </si>
  <si>
    <t>Feng, Tianwei</t>
    <phoneticPr fontId="10" type="noConversion"/>
  </si>
  <si>
    <t>32108819980928575X</t>
    <phoneticPr fontId="10" type="noConversion"/>
  </si>
  <si>
    <t>18112148689</t>
    <phoneticPr fontId="10" type="noConversion"/>
  </si>
  <si>
    <t>蔡召飞</t>
  </si>
  <si>
    <t>Cai, Zhaofei</t>
    <phoneticPr fontId="10" type="noConversion"/>
  </si>
  <si>
    <t>410526198802166453</t>
  </si>
  <si>
    <t>15236508901</t>
    <phoneticPr fontId="10" type="noConversion"/>
  </si>
  <si>
    <t>刘卜文</t>
  </si>
  <si>
    <t>Liu, Bowen</t>
    <phoneticPr fontId="10" type="noConversion"/>
  </si>
  <si>
    <t>320721199911024616</t>
  </si>
  <si>
    <t>18761341183</t>
    <phoneticPr fontId="10" type="noConversion"/>
  </si>
  <si>
    <t>刘嘉伟</t>
  </si>
  <si>
    <t>Liu, Jiawei</t>
    <phoneticPr fontId="10" type="noConversion"/>
  </si>
  <si>
    <t>412701200104162530</t>
  </si>
  <si>
    <t>17269626975</t>
    <phoneticPr fontId="10" type="noConversion"/>
  </si>
  <si>
    <t>夏云涛</t>
  </si>
  <si>
    <t>Xia, Yuntao</t>
    <phoneticPr fontId="10" type="noConversion"/>
  </si>
  <si>
    <t>411325199607040714</t>
  </si>
  <si>
    <t>17613385096</t>
    <phoneticPr fontId="10" type="noConversion"/>
  </si>
  <si>
    <t>马旭</t>
  </si>
  <si>
    <t xml:space="preserve">Ma, Matthew </t>
  </si>
  <si>
    <t>220381199504044215</t>
  </si>
  <si>
    <t>13074357973</t>
  </si>
  <si>
    <t>杨赛</t>
    <phoneticPr fontId="12" type="noConversion"/>
  </si>
  <si>
    <t>Yang Sai</t>
    <phoneticPr fontId="12" type="noConversion"/>
  </si>
  <si>
    <t>320381199007049414</t>
    <phoneticPr fontId="12" type="noConversion"/>
  </si>
  <si>
    <t>13921750429</t>
    <phoneticPr fontId="12" type="noConversion"/>
  </si>
  <si>
    <t>上海埃福梯自动化输送技术有限公司</t>
    <phoneticPr fontId="12" type="noConversion"/>
  </si>
  <si>
    <t>AFT Automation and Conveying Systems (Shanghai) Co., Ltd</t>
    <phoneticPr fontId="12" type="noConversion"/>
  </si>
  <si>
    <t>VASS V06 PLC</t>
    <phoneticPr fontId="12" type="noConversion"/>
  </si>
  <si>
    <t>张晓海</t>
    <phoneticPr fontId="12" type="noConversion"/>
  </si>
  <si>
    <t>Zhang Xiaohai</t>
    <phoneticPr fontId="12" type="noConversion"/>
  </si>
  <si>
    <t>341021199803090751</t>
    <phoneticPr fontId="12" type="noConversion"/>
  </si>
  <si>
    <t>17855127932</t>
    <phoneticPr fontId="12" type="noConversion"/>
  </si>
  <si>
    <t>梁浩东</t>
    <phoneticPr fontId="12" type="noConversion"/>
  </si>
  <si>
    <t>Liang Haodong</t>
    <phoneticPr fontId="12" type="noConversion"/>
  </si>
  <si>
    <t>412722199708244015</t>
    <phoneticPr fontId="12" type="noConversion"/>
  </si>
  <si>
    <t>19803809680</t>
    <phoneticPr fontId="12" type="noConversion"/>
  </si>
  <si>
    <t>毕博成</t>
  </si>
  <si>
    <t>Bi，Bocheng</t>
  </si>
  <si>
    <t>22032319980312481X</t>
  </si>
  <si>
    <t>于馨忠</t>
  </si>
  <si>
    <t>Yu，Xinzhong</t>
  </si>
  <si>
    <t>210623200007292636</t>
  </si>
  <si>
    <t>孙一帆</t>
  </si>
  <si>
    <t>Sun，Yifan</t>
  </si>
  <si>
    <t>341125199703240370</t>
  </si>
  <si>
    <t>22/10/2024：09:00-12:00</t>
  </si>
  <si>
    <t>韩泽尧</t>
  </si>
  <si>
    <t>Han，Zeyao</t>
  </si>
  <si>
    <t>220721200205161615</t>
  </si>
  <si>
    <t>黎乾</t>
  </si>
  <si>
    <t>Li，Qian</t>
  </si>
  <si>
    <t>430121199409098516</t>
  </si>
  <si>
    <t>聂东凯</t>
  </si>
  <si>
    <t>Nie，Dongkai</t>
  </si>
  <si>
    <t>430421200306148332</t>
  </si>
  <si>
    <t>聂奥湘</t>
  </si>
  <si>
    <t>Nie，Aoxiang</t>
  </si>
  <si>
    <t xml:space="preserve">430421200102040039 </t>
  </si>
  <si>
    <t>17773480456</t>
  </si>
  <si>
    <t>任杰</t>
  </si>
  <si>
    <t>Ren，Jie</t>
  </si>
  <si>
    <t>220382199910094310</t>
  </si>
  <si>
    <t>15204458110</t>
  </si>
  <si>
    <t>吴礼本</t>
  </si>
  <si>
    <t>Wu,Liben</t>
  </si>
  <si>
    <t>340823197904204910</t>
  </si>
  <si>
    <t>13918791950</t>
  </si>
  <si>
    <t>贝姆自动化设备（昆山）有限公司</t>
  </si>
  <si>
    <t>BEMI Automation ﻿Equipment(KunShan) Co.,Ltd</t>
  </si>
  <si>
    <t>Information of companies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</si>
  <si>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</si>
  <si>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</si>
  <si>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</si>
  <si>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</si>
  <si>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</si>
  <si>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</si>
  <si>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</si>
  <si>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</si>
  <si>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</si>
  <si>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</si>
  <si>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</si>
  <si>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</si>
  <si>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Tax ID</t>
  </si>
  <si>
    <t>Bank Name</t>
  </si>
  <si>
    <t>Bank Account No.</t>
  </si>
  <si>
    <t>Invoice Address</t>
  </si>
  <si>
    <t>Contact Number</t>
  </si>
  <si>
    <t>Contact Person</t>
  </si>
  <si>
    <t>Contact Address</t>
  </si>
  <si>
    <t>邮寄地址</t>
  </si>
  <si>
    <t>91310115329557584X</t>
  </si>
  <si>
    <t>中国建设银行股份有限公司上海金茂支行</t>
  </si>
  <si>
    <t>31001611812050007843</t>
  </si>
  <si>
    <t>上海市浦东新区龙阳路1990号5楼503室</t>
  </si>
  <si>
    <t>021-61635211</t>
  </si>
  <si>
    <t>Peter Lorenz</t>
  </si>
  <si>
    <t>Peter.Lorenz@inpro-electric.de</t>
  </si>
  <si>
    <t>91310114692961602J</t>
  </si>
  <si>
    <t>中国银行安亭支行</t>
  </si>
  <si>
    <t xml:space="preserve">454 668 523 718    </t>
  </si>
  <si>
    <t>上海市嘉定区宝安公路4229号4层J1026室</t>
  </si>
  <si>
    <t>蒋晓峰</t>
  </si>
  <si>
    <t>jiangxiaofeng@shhanm.com</t>
  </si>
  <si>
    <t>江苏省苏州市昆山市花桥镇创新港A区12栋4层</t>
  </si>
  <si>
    <r>
      <t>苏州市昆山市花桥镇金星路</t>
    </r>
    <r>
      <rPr>
        <sz val="10.5"/>
        <color rgb="FF000000"/>
        <rFont val="Verdana"/>
        <family val="2"/>
      </rPr>
      <t>18</t>
    </r>
    <r>
      <rPr>
        <sz val="10.5"/>
        <color rgb="FF000000"/>
        <rFont val="Microsoft YaHei UI"/>
        <family val="2"/>
      </rPr>
      <t>号</t>
    </r>
    <r>
      <rPr>
        <sz val="10.5"/>
        <color rgb="FF000000"/>
        <rFont val="Verdana"/>
        <family val="2"/>
      </rPr>
      <t>12</t>
    </r>
    <r>
      <rPr>
        <sz val="10.5"/>
        <color rgb="FF000000"/>
        <rFont val="Microsoft YaHei UI"/>
        <family val="2"/>
      </rPr>
      <t>号房</t>
    </r>
    <r>
      <rPr>
        <sz val="10.5"/>
        <color rgb="FF000000"/>
        <rFont val="Verdana"/>
        <family val="2"/>
      </rPr>
      <t>A12</t>
    </r>
    <r>
      <rPr>
        <sz val="10.5"/>
        <color rgb="FF000000"/>
        <rFont val="Microsoft YaHei UI"/>
        <family val="2"/>
      </rPr>
      <t>栋</t>
    </r>
    <r>
      <rPr>
        <sz val="10.5"/>
        <color rgb="FF000000"/>
        <rFont val="Verdana"/>
        <family val="2"/>
      </rPr>
      <t>4</t>
    </r>
    <r>
      <rPr>
        <sz val="10.5"/>
        <color rgb="FF000000"/>
        <rFont val="Microsoft YaHei UI"/>
        <family val="2"/>
      </rPr>
      <t>层</t>
    </r>
  </si>
  <si>
    <t>91310114667788377x</t>
  </si>
  <si>
    <t>中国建设银行股份有限公司上海安亭支行</t>
  </si>
  <si>
    <t>31050179380000000436</t>
  </si>
  <si>
    <t>上海市嘉定区宝钱公路4533号G座</t>
  </si>
  <si>
    <t>021-59939587</t>
  </si>
  <si>
    <t>Wu, Qi</t>
  </si>
  <si>
    <t>wuqi@shqide.com</t>
  </si>
  <si>
    <t>91510100MA634XN68T</t>
  </si>
  <si>
    <t>中国银行成都王府井支行</t>
  </si>
  <si>
    <t>125313434349</t>
  </si>
  <si>
    <t>四川省成都市高新区天晖中街56号B栋1013</t>
  </si>
  <si>
    <t>18782981729</t>
  </si>
  <si>
    <t>Zhong, Xuemei</t>
  </si>
  <si>
    <t>chloezhong@bond-aat.com</t>
  </si>
  <si>
    <t>91310000607394077J</t>
  </si>
  <si>
    <t>汇丰银行（中国）有限公司上海分行</t>
  </si>
  <si>
    <t>715019550011</t>
  </si>
  <si>
    <t>上海市徐汇区古美路1582号总部园二期C幢1501B 室</t>
  </si>
  <si>
    <t>021-33678811/13761854717</t>
  </si>
  <si>
    <t>Gu, Charles</t>
  </si>
  <si>
    <t>Charles.Gu2@leadec-services.com</t>
  </si>
  <si>
    <t>91220102309945686C</t>
  </si>
  <si>
    <t>中国建设银行股份有限公司长春卫星路支行</t>
  </si>
  <si>
    <t>22001310070052500400</t>
  </si>
  <si>
    <t>长春市南关区东岭南街西虹馆小区第5幢3单元1406室</t>
  </si>
  <si>
    <t>Zhang, Baoquan</t>
  </si>
  <si>
    <t>baoquan_zhang@126.com</t>
  </si>
  <si>
    <t>长春市南关区南四环与彩织街交汇南溪虹著25栋1单元902室</t>
  </si>
  <si>
    <t>91310114795692185C</t>
  </si>
  <si>
    <t>农行上海市翔殷支行</t>
  </si>
  <si>
    <t>03-326700040029454</t>
  </si>
  <si>
    <t>上海市松江区九干路280号39幢3A</t>
  </si>
  <si>
    <t>18121277267</t>
  </si>
  <si>
    <t>Liu, Ping</t>
  </si>
  <si>
    <t>ping.liu@sh-yixin.cn</t>
  </si>
  <si>
    <t>广州易行数字技术有限公司</t>
  </si>
  <si>
    <t>91440404093591937D</t>
  </si>
  <si>
    <t>中国工商银行广州东山铁路支行</t>
  </si>
  <si>
    <t>3602013509200114807</t>
  </si>
  <si>
    <t>广州市天河区中山大道西89号A栋</t>
  </si>
  <si>
    <t>020-38788015</t>
  </si>
  <si>
    <t>913101145588298468</t>
  </si>
  <si>
    <t>中国农业银行上海南翔支行</t>
  </si>
  <si>
    <t>03806800040086623</t>
  </si>
  <si>
    <t>上海市嘉定区顺达路938号6楼601</t>
  </si>
  <si>
    <t>沈贤仿</t>
  </si>
  <si>
    <t>shenxianfang@jiuyuansheng.cn</t>
  </si>
  <si>
    <t>上海市嘉定区顺达路938号6楼（上海九源晟）</t>
  </si>
  <si>
    <t>91120116MA06ACTA65</t>
  </si>
  <si>
    <t>中国工商银行股份有限公司天津第一支行</t>
  </si>
  <si>
    <t>0302090209300522031</t>
  </si>
  <si>
    <t>天津市宁河区一汽大众华北基地惠众街与海翔路交汇</t>
  </si>
  <si>
    <t>022-59320777</t>
  </si>
  <si>
    <t>Lv, Lina</t>
  </si>
  <si>
    <t>lvlina_td@faw.com.cn</t>
  </si>
  <si>
    <t>91220101702500368M</t>
  </si>
  <si>
    <t>中国工商银行驻一汽支行</t>
  </si>
  <si>
    <t>4200222409000026275</t>
  </si>
  <si>
    <t>长春汽车经济技术开发区捷达大路1999号</t>
  </si>
  <si>
    <t>zhaojj_td@faw.com.cn</t>
  </si>
  <si>
    <t>91320583313944344C</t>
  </si>
  <si>
    <t>中国建设银行股份有限公司昆山春晖路支行</t>
  </si>
  <si>
    <t>32201986485052504328</t>
  </si>
  <si>
    <t>上海市嘉定区安亭镇曹安公路5666号 汽车金融港209室，刘鹏飞，18001725296</t>
  </si>
  <si>
    <t xml:space="preserve"> 0512-57728196</t>
  </si>
  <si>
    <t>刘鹏飞</t>
  </si>
  <si>
    <t>liupengfei@bm-ks.cn</t>
  </si>
  <si>
    <t>埃伏斯智能科技（上海）有限公司</t>
    <phoneticPr fontId="7" type="noConversion"/>
  </si>
  <si>
    <t>IFS (Shanghai) Co.,Ltd.</t>
    <phoneticPr fontId="7" type="noConversion"/>
  </si>
  <si>
    <t>91 310 114 MA1G TTG4 5G</t>
    <phoneticPr fontId="7" type="noConversion"/>
  </si>
  <si>
    <t>招商银行上海南翔支行</t>
    <phoneticPr fontId="7" type="noConversion"/>
  </si>
  <si>
    <t>1219 2360 5810 601</t>
    <phoneticPr fontId="7" type="noConversion"/>
  </si>
  <si>
    <t>上海市宝山区梅林路358号13幢A1185室</t>
    <phoneticPr fontId="7" type="noConversion"/>
  </si>
  <si>
    <t>137 6409 5661</t>
    <phoneticPr fontId="7" type="noConversion"/>
  </si>
  <si>
    <t>张胤</t>
    <phoneticPr fontId="7" type="noConversion"/>
  </si>
  <si>
    <t>yin.zhang@cn-ifs.com</t>
    <phoneticPr fontId="7" type="noConversion"/>
  </si>
  <si>
    <t>上海市宝山区蕰川路1188弄106号B2栋东侧</t>
  </si>
  <si>
    <t>912201017484432744</t>
  </si>
  <si>
    <t>中国银行吉林省分行</t>
  </si>
  <si>
    <t>163605508410</t>
  </si>
  <si>
    <t>长春市高新区硅谷大街1198号硅谷大厦408室</t>
  </si>
  <si>
    <t>0431-85882260/13843126668</t>
  </si>
  <si>
    <t>Zhang, Jerry</t>
  </si>
  <si>
    <t>jerry_smre@126.com</t>
  </si>
  <si>
    <t>91310120MA1HPBCU2W</t>
  </si>
  <si>
    <t>中国建设银行股份有限公司上海江桥支行</t>
  </si>
  <si>
    <t>31050179420000001352</t>
  </si>
  <si>
    <t xml:space="preserve">上海市奉贤区大叶公路5995号6幢2534室（搬家了）/吉林省长春市绿园区经济技术开发区一汽大众202号门 </t>
  </si>
  <si>
    <t>18269911766</t>
  </si>
  <si>
    <t>Zhu, Yan</t>
  </si>
  <si>
    <t>zhuyan_kezi@163.com</t>
  </si>
  <si>
    <t>913101156073999437</t>
  </si>
  <si>
    <t>88005426011</t>
  </si>
  <si>
    <t>上海市浦东新区康新公路4528号</t>
  </si>
  <si>
    <t>021-61056666</t>
  </si>
  <si>
    <t>Tang, Jianguo</t>
  </si>
  <si>
    <t>jianguo.tang@cn.abb.com</t>
  </si>
  <si>
    <t>91510112MA6CLYF01X</t>
  </si>
  <si>
    <t>中国建设银行股份有限公司成都第七支行</t>
  </si>
  <si>
    <t>51050147900800001332</t>
  </si>
  <si>
    <t>四川省成都市龙泉驿区龙泉街道驿都大道中路337号1栋1单元21层3号</t>
  </si>
  <si>
    <t>13739462897/028--8191 5666</t>
  </si>
  <si>
    <r>
      <t>刘珺</t>
    </r>
    <r>
      <rPr>
        <sz val="10.5"/>
        <color rgb="FF000000"/>
        <rFont val="Tahoma"/>
        <family val="2"/>
      </rPr>
      <t xml:space="preserve"> </t>
    </r>
  </si>
  <si>
    <t>jun.liu@cdmkac.com</t>
  </si>
  <si>
    <t>四川省成都市龙泉驿区星光西路115号南光工业园区成都安德力自动化科技有限公司</t>
  </si>
  <si>
    <t>91310114591671008H</t>
  </si>
  <si>
    <t>中国农业银行股份有限公司上海安亭支行</t>
  </si>
  <si>
    <t>03808400040036813</t>
  </si>
  <si>
    <t>上海市嘉定区安亭镇曹安公路4811号7楼706室</t>
  </si>
  <si>
    <t>021-58659166</t>
  </si>
  <si>
    <t>Li,Ahui</t>
  </si>
  <si>
    <t>liahui@hanhao-automation.com</t>
  </si>
  <si>
    <t>91310120MA1HMUAT74</t>
  </si>
  <si>
    <t>31050179380000000883</t>
  </si>
  <si>
    <t>上海市奉贤区金海公路6055号28幢1层</t>
  </si>
  <si>
    <t>陈东</t>
  </si>
  <si>
    <t>chendong@yuou.mobi</t>
  </si>
  <si>
    <t>江苏省苏州太仓市城厢镇南郊文治路5号力合未来科技谷1号门403室</t>
  </si>
  <si>
    <t>B&amp;A Automation Technology co. Ltd</t>
  </si>
  <si>
    <t>913101146916365332</t>
  </si>
  <si>
    <t>中国邮政储蓄银行股份有限公司上海徐汇区辛耕路支行</t>
  </si>
  <si>
    <t>100223663520010001</t>
  </si>
  <si>
    <t>上海嘉定区联东U谷恒永路328号69栋</t>
  </si>
  <si>
    <t>Zhao,Xiaomei</t>
  </si>
  <si>
    <t>xiaomei.zhao@ba-automation.net</t>
  </si>
  <si>
    <t>Kunshan Bosheng Electric Technology Co., Ltd</t>
  </si>
  <si>
    <t xml:space="preserve">91320583MA224RGK31 </t>
  </si>
  <si>
    <t>中国银行花桥支行</t>
  </si>
  <si>
    <t>554739467334</t>
  </si>
  <si>
    <t>昆山市花桥镇商祥路36号天工国际大厦2号楼609室</t>
  </si>
  <si>
    <t>caifenfen</t>
  </si>
  <si>
    <t>caifenfen@ks-bosheng.cn</t>
  </si>
  <si>
    <t>91210200242911843U</t>
  </si>
  <si>
    <t>上海浦东发展银行大连学苑广场支行</t>
  </si>
  <si>
    <t>75080154740000760</t>
  </si>
  <si>
    <t>辽宁省大连高新技术产业园区盛龙街5号</t>
  </si>
  <si>
    <t>041186286888</t>
  </si>
  <si>
    <t>Zhu,Chenglin</t>
  </si>
  <si>
    <t>zhuchenglin@dlautotech.com</t>
  </si>
  <si>
    <t>91310118MA1JMWAE13</t>
  </si>
  <si>
    <t>中国农业银行上海安亭支行</t>
  </si>
  <si>
    <t>03808400040051853</t>
  </si>
  <si>
    <t>上海市奉贤区金碧路1990号1层</t>
  </si>
  <si>
    <t>张志权</t>
  </si>
  <si>
    <t>zhangzhiquan@mingsu-sh.cn</t>
  </si>
  <si>
    <t>江苏省昆山市花桥镇徐公桥路2号D区366室</t>
  </si>
  <si>
    <t>安徽巨一科技股份有限公司</t>
    <phoneticPr fontId="14" type="noConversion"/>
  </si>
  <si>
    <t>JEE TECHNOLOGY CO., LTD.</t>
    <phoneticPr fontId="14" type="noConversion"/>
  </si>
  <si>
    <t>9134010077111425X3</t>
    <phoneticPr fontId="14" type="noConversion"/>
  </si>
  <si>
    <t>交通银行合肥北京路支行</t>
    <phoneticPr fontId="14" type="noConversion"/>
  </si>
  <si>
    <t>341335000018880003426</t>
    <phoneticPr fontId="14" type="noConversion"/>
  </si>
  <si>
    <t>安徽省合肥市包河区繁华大道5821号</t>
    <phoneticPr fontId="14" type="noConversion"/>
  </si>
  <si>
    <t>赵祥众</t>
    <phoneticPr fontId="14" type="noConversion"/>
  </si>
  <si>
    <t>zhaoxiangzhong@jee-cn.com</t>
  </si>
  <si>
    <t xml:space="preserve">AiWei Mechanical and Electrical equipment (Shanghai) Co., Ltd. </t>
  </si>
  <si>
    <t>91310112MA1GBK1R5D</t>
  </si>
  <si>
    <t>中国工商银行股份有限公司上海市新虹支行</t>
  </si>
  <si>
    <t>1001014609003314448</t>
  </si>
  <si>
    <t>上海市嘉定区安亭镇昌吉路156弄8号</t>
  </si>
  <si>
    <t>Wu,zehua</t>
  </si>
  <si>
    <t>wuzehua@hz-tech.cn</t>
  </si>
  <si>
    <t>91370100756352591E</t>
  </si>
  <si>
    <t>中国银行济南舜华路支行</t>
  </si>
  <si>
    <t>228608306784</t>
  </si>
  <si>
    <t>中国山东省济南市高新区新罗大道1166号奥盛大厦3号楼7层</t>
  </si>
  <si>
    <t>Xu,Zhongdong</t>
  </si>
  <si>
    <t>xuzhongdong@kinmark.com</t>
  </si>
  <si>
    <t>913101156762134600</t>
  </si>
  <si>
    <t>建设银行上海张江分行</t>
  </si>
  <si>
    <t>31001660017050009336</t>
  </si>
  <si>
    <t>上海市青浦区华浦路500号4幢一层</t>
  </si>
  <si>
    <t>Gao,Linlin</t>
  </si>
  <si>
    <t>lingling.gao@shautobox.com</t>
  </si>
  <si>
    <t>Shanghai Sinylon Auto Equipment Manufacture Co.,  Ltd</t>
  </si>
  <si>
    <t>91310113575846015H</t>
  </si>
  <si>
    <t>交通银行上海顾村支行</t>
  </si>
  <si>
    <t>310066991018800002331</t>
  </si>
  <si>
    <t>上海市宝山区富联路1369号</t>
  </si>
  <si>
    <t>王萍</t>
  </si>
  <si>
    <t>huisheng_lu@sinylon.com</t>
  </si>
  <si>
    <t>上海市宝山区富联路1369号，18701728262</t>
  </si>
  <si>
    <t>Schenck Shanghai Machinery Co., Ltd.</t>
  </si>
  <si>
    <t>91310000607407448U</t>
  </si>
  <si>
    <t>上海浦东发展银行曹杨支行</t>
  </si>
  <si>
    <t>076541-9872015530000098</t>
  </si>
  <si>
    <t>上海市宝山区丰翔路1111号</t>
  </si>
  <si>
    <t>LV,Chengcheng</t>
  </si>
  <si>
    <t>chengcheng.lv@volkswagen-anhui.com</t>
  </si>
  <si>
    <t>911101056000208818</t>
  </si>
  <si>
    <t>中国工商银行股份有限公司北京朝阳支行</t>
  </si>
  <si>
    <t>0200003419201205033</t>
  </si>
  <si>
    <t>北京市朝阳区酒仙桥东路1号</t>
  </si>
  <si>
    <t>Chu,Zhonglin</t>
  </si>
  <si>
    <t>zhonglin.chu@siemens.com</t>
  </si>
  <si>
    <t>91310000739790952F</t>
    <phoneticPr fontId="12" type="noConversion"/>
  </si>
  <si>
    <t>中国银行上海市长宁支行</t>
  </si>
  <si>
    <t xml:space="preserve">4468 5922 3536 </t>
    <phoneticPr fontId="12" type="noConversion"/>
  </si>
  <si>
    <t>上海市嘉定区外冈镇沪宜公路5825号1幢</t>
    <phoneticPr fontId="12" type="noConversion"/>
  </si>
  <si>
    <t>021-39507206</t>
    <phoneticPr fontId="12" type="noConversion"/>
  </si>
  <si>
    <t>钱密</t>
    <phoneticPr fontId="12" type="noConversion"/>
  </si>
  <si>
    <t>qian.mi@aft.sh.cn</t>
    <phoneticPr fontId="12" type="noConversion"/>
  </si>
  <si>
    <t xml:space="preserve">上海嘉定安亭墨玉南路1018号西上海大厦 9楼 AFT
</t>
    <phoneticPr fontId="12" type="noConversion"/>
  </si>
  <si>
    <t xml:space="preserve"> Miracle Automation Engineering Co., Ltd.</t>
    <phoneticPr fontId="9" type="noConversion"/>
  </si>
  <si>
    <t>91320200240507994H</t>
  </si>
  <si>
    <t>中国建设银行洛社支行</t>
    <phoneticPr fontId="9" type="noConversion"/>
  </si>
  <si>
    <t>32001617160059106374</t>
    <phoneticPr fontId="9" type="noConversion"/>
  </si>
  <si>
    <t>江苏省无锡市洛社镇洛藕路288号</t>
    <phoneticPr fontId="9" type="noConversion"/>
  </si>
  <si>
    <t>王佳</t>
    <phoneticPr fontId="9" type="noConversion"/>
  </si>
  <si>
    <t>wangjia@jsmiracle.com</t>
    <phoneticPr fontId="9" type="noConversion"/>
  </si>
  <si>
    <t>江苏省无锡市惠山区洛社镇洛藕路288号</t>
    <phoneticPr fontId="9" type="noConversion"/>
  </si>
  <si>
    <t>Shanghai Sunyell Electronic Technology Co.,Ltd.</t>
  </si>
  <si>
    <t>91310113568064066N</t>
  </si>
  <si>
    <t>中国农业银行股份有限公司上海新桥支行</t>
  </si>
  <si>
    <t>03853400040067201</t>
  </si>
  <si>
    <t>上海市嘉定区沪宜公路5050弄21号</t>
  </si>
  <si>
    <t>Xu,Siyi</t>
  </si>
  <si>
    <t>xusiyi@sunyelltech.com</t>
  </si>
  <si>
    <t>33 (单价+数量)</t>
  </si>
  <si>
    <t>Liaoning Frey stoll Engineering Technology Co.,Ltd.</t>
  </si>
  <si>
    <t>91210300MA0UQ6HE51</t>
  </si>
  <si>
    <t>中国银行鞍山分行</t>
  </si>
  <si>
    <t>294774860796</t>
  </si>
  <si>
    <t>中国辽宁省鞍山市高新区光谱路17号</t>
  </si>
  <si>
    <t>Lv,Xintong</t>
  </si>
  <si>
    <t>x.lv@frey-stoll-ln.com</t>
  </si>
  <si>
    <r>
      <t>胡雪，</t>
    </r>
    <r>
      <rPr>
        <sz val="12"/>
        <color rgb="FF000000"/>
        <rFont val="Calibri"/>
        <family val="2"/>
        <scheme val="minor"/>
      </rPr>
      <t>18842036489</t>
    </r>
    <r>
      <rPr>
        <sz val="12"/>
        <color rgb="FF000000"/>
        <rFont val="SimSun"/>
      </rPr>
      <t>，辽宁省鞍山市高新区光谱路</t>
    </r>
    <r>
      <rPr>
        <sz val="12"/>
        <color rgb="FF000000"/>
        <rFont val="Calibri"/>
        <family val="2"/>
        <scheme val="minor"/>
      </rPr>
      <t>17</t>
    </r>
    <r>
      <rPr>
        <sz val="12"/>
        <color rgb="FF000000"/>
        <rFont val="SimSun"/>
      </rPr>
      <t>号哈工大研究院</t>
    </r>
    <r>
      <rPr>
        <sz val="12"/>
        <color rgb="FF000000"/>
        <rFont val="Calibri"/>
        <family val="2"/>
        <scheme val="minor"/>
      </rPr>
      <t>4</t>
    </r>
    <r>
      <rPr>
        <sz val="12"/>
        <color rgb="FF000000"/>
        <rFont val="SimSun"/>
      </rPr>
      <t>楼</t>
    </r>
    <r>
      <rPr>
        <sz val="12"/>
        <color rgb="FF000000"/>
        <rFont val="Calibri"/>
        <family val="2"/>
        <scheme val="minor"/>
      </rPr>
      <t>,</t>
    </r>
    <r>
      <rPr>
        <sz val="12"/>
        <color rgb="FF000000"/>
        <rFont val="SimSun"/>
      </rPr>
      <t>辽宁福瑞施道工程技术有限公司</t>
    </r>
  </si>
  <si>
    <t xml:space="preserve">Changchun Hanzhi Technology Co., LTD </t>
  </si>
  <si>
    <t>91220101MA16XCMU26</t>
  </si>
  <si>
    <t>中国工商银行股份有限公司长春新区支行</t>
  </si>
  <si>
    <t>14200223109000133122</t>
  </si>
  <si>
    <t>长春市北湖科技开发区航空街4084号3号厂房第8号房间</t>
  </si>
  <si>
    <t>Wu,Zehua</t>
  </si>
  <si>
    <t>914201146758275323</t>
  </si>
  <si>
    <t>建设银行武汉经济技术开发区支行</t>
  </si>
  <si>
    <t>42001258136053020725</t>
  </si>
  <si>
    <t>武汉经济技术开发区17C1地块东和中心A栋3-13层A5号7层</t>
  </si>
  <si>
    <t>Feng,Chao</t>
  </si>
  <si>
    <t>Fengc2118@mail.dfd.cn</t>
  </si>
  <si>
    <t>9131000075031683XT</t>
  </si>
  <si>
    <t>中国银行上海市闵行支行</t>
  </si>
  <si>
    <t>4494 5924 8656</t>
  </si>
  <si>
    <t>山东省青岛市西海岸新区东元路1200号5楼不莱梅贝克财务办公室</t>
  </si>
  <si>
    <t>夏王涛 13793289119</t>
  </si>
  <si>
    <t xml:space="preserve">wangtao.xia@blumenbecker-engineering.cn </t>
  </si>
  <si>
    <t>021-69956365</t>
  </si>
  <si>
    <t>埃姆达国际贸易（上海）有限公司</t>
  </si>
  <si>
    <t>MWT International Trading(Shanghai) Co.,Ltd.</t>
  </si>
  <si>
    <t>91310000703310507F</t>
  </si>
  <si>
    <t>上海工商银行安亭支行</t>
  </si>
  <si>
    <t>02711-1001701109300005394</t>
  </si>
  <si>
    <t>上海市嘉定区安亭镇百安公路538号4幢2层B区</t>
  </si>
  <si>
    <t>上海帝曼德机电有限公司</t>
  </si>
  <si>
    <t>913101176321665005</t>
  </si>
  <si>
    <t>上海银行普陀支行</t>
  </si>
  <si>
    <t>31577803000082359</t>
  </si>
  <si>
    <t>上海市普陀区绥德路2弄1号108室</t>
  </si>
  <si>
    <t>北京蓝剑国际旅行社有限公司</t>
  </si>
  <si>
    <t>9111 0105 1014 2055 7E</t>
  </si>
  <si>
    <t>中国工商银行北京世纪坛支行</t>
  </si>
  <si>
    <t>0200 0963 0900 0012 081</t>
  </si>
  <si>
    <t>北京市朝阳区北辰西路69号10.5 层4单元1006号</t>
  </si>
  <si>
    <t>010-51652121</t>
  </si>
  <si>
    <t>91220101MA15532A3E</t>
  </si>
  <si>
    <t>中国民生银行长春一汽支行</t>
  </si>
  <si>
    <t>长春市高新区硅谷大街益田创客大厦A座1313室</t>
  </si>
  <si>
    <t>jlzh_scg@163.com</t>
  </si>
  <si>
    <t>长春市绿园区青年路教师住宅小区A区</t>
  </si>
  <si>
    <t>42</t>
    <phoneticPr fontId="69" type="noConversion"/>
  </si>
  <si>
    <t>HG Farley Laserlab Cutting Welding System Engineering Co.,Ltd.</t>
  </si>
  <si>
    <t>91420700679116893T</t>
  </si>
  <si>
    <t>中国银行股份有限公司湖北自贸试验区武汉片区分行</t>
  </si>
  <si>
    <t>湖北省鄂州市葛店开发区创业大道西侧A区</t>
  </si>
  <si>
    <t>0711-3702819</t>
  </si>
  <si>
    <t>hongsfan</t>
  </si>
  <si>
    <t>fan_hong@sinylon.com</t>
  </si>
  <si>
    <t>91310115342157200N</t>
  </si>
  <si>
    <t>中国建设银行天目东路支行</t>
  </si>
  <si>
    <t>31050167390000000026</t>
  </si>
  <si>
    <t>上海市金山区金山大道2335弄世纪城西街46号</t>
  </si>
  <si>
    <t>Wuhan Huagong Laser Engineering Co., Ltd.</t>
  </si>
  <si>
    <t>91420100300195671N</t>
  </si>
  <si>
    <t>578157520459</t>
  </si>
  <si>
    <t>湖北省武汉市东湖新技术开发区未来二路66号（自贸区武汉片区）</t>
  </si>
  <si>
    <t>洪帆</t>
  </si>
  <si>
    <t>长春市捷众自动化科技有限公司</t>
    <phoneticPr fontId="20" type="noConversion"/>
  </si>
  <si>
    <t>Changchun Jiezhong Automation Technology Co., Ltd</t>
    <phoneticPr fontId="20" type="noConversion"/>
  </si>
  <si>
    <t>91220104MA84K85Y62</t>
    <phoneticPr fontId="20" type="noConversion"/>
  </si>
  <si>
    <t>中国工商银行股份有限公司长春电台街支行</t>
    <phoneticPr fontId="20" type="noConversion"/>
  </si>
  <si>
    <t>4200019209000029711</t>
    <phoneticPr fontId="20" type="noConversion"/>
  </si>
  <si>
    <t>长春市朝阳区西安大路南安达街西长春上海广场1单元1011号房</t>
    <phoneticPr fontId="20" type="noConversion"/>
  </si>
  <si>
    <t>朱海瑞</t>
    <phoneticPr fontId="20" type="noConversion"/>
  </si>
  <si>
    <t>zhuhairui_qr@163.com</t>
    <phoneticPr fontId="20" type="noConversion"/>
  </si>
  <si>
    <t>吉林省长春市朝阳区飞跃街道硅谷大街3355号超达创业园第16号楼602（九州伟业门进)</t>
    <phoneticPr fontId="20" type="noConversion"/>
  </si>
  <si>
    <t>91310114MA1GWUN143</t>
  </si>
  <si>
    <t>交行上海安亭支行</t>
  </si>
  <si>
    <t>310069040013001035448</t>
  </si>
  <si>
    <t>江苏省昆山市苏州市花桥镇花安路169号中寰广场2127-2129</t>
  </si>
  <si>
    <t>沈仙</t>
  </si>
  <si>
    <t>xian_shen@shjiehui.cn</t>
  </si>
  <si>
    <t>KUKA Systems(China) Co.,Ltd.</t>
  </si>
  <si>
    <t>91310000762648604T</t>
  </si>
  <si>
    <t>中国银行松江工业区支行</t>
  </si>
  <si>
    <t>4520 5922 5594</t>
  </si>
  <si>
    <t>上海市松江区文翔路4399号</t>
  </si>
  <si>
    <t>范佳琪</t>
  </si>
  <si>
    <t>andrew.fan@kuka.com</t>
  </si>
  <si>
    <t>91310114MA1GYDDD3K</t>
  </si>
  <si>
    <t>交通银行股份有限公司上海安享支行</t>
  </si>
  <si>
    <t>310069040013004149130</t>
  </si>
  <si>
    <t>上海市嘉定工业区叶城路912号J</t>
  </si>
  <si>
    <t>韩巍巍</t>
  </si>
  <si>
    <t>hanww1983@163.com</t>
  </si>
  <si>
    <t>上海市嘉定区安亭镇泽普路318弄美蓉新村10号302室</t>
  </si>
  <si>
    <t>91510100MA6CDX94XW</t>
  </si>
  <si>
    <t>中国民生银行股份有限公司成都金牛支行</t>
  </si>
  <si>
    <t>四川省成都市龙泉驿区柏合街道合纵路住266号成航大厦502</t>
  </si>
  <si>
    <t>徐紫薇</t>
  </si>
  <si>
    <t>zwxu@cdhcx.cn</t>
  </si>
  <si>
    <t>四川成都经济技术开发区（龙泉驿区）车城东 7 路 338 号 3 栋 3 层 1号</t>
  </si>
  <si>
    <t>9151000062170705XB</t>
  </si>
  <si>
    <t>工商银行成都沙河支行</t>
  </si>
  <si>
    <t>4402211009006776025</t>
  </si>
  <si>
    <t>成都市成华区龙潭工业园区成致路15号</t>
  </si>
  <si>
    <t>唐忠刚</t>
  </si>
  <si>
    <t>zgtang@cbwee.com</t>
  </si>
  <si>
    <t>91220101MA157TJF47</t>
  </si>
  <si>
    <t>中国工商银行股份有限公司长春经济技术开发区支行</t>
  </si>
  <si>
    <t>4200223209200418320</t>
  </si>
  <si>
    <t>长春市经济开发区南沙大街2888号</t>
  </si>
  <si>
    <t>hongshen.mao@wfjyjt.com</t>
  </si>
  <si>
    <t>经济开发区南沙大街2888号</t>
  </si>
  <si>
    <t>Jilin Kubo  Automation Co., Ltd.</t>
  </si>
  <si>
    <t>91220100MA17WRKU6H</t>
  </si>
  <si>
    <t>中国银行股份有限公司长春硅谷大街支行</t>
  </si>
  <si>
    <t>158859112299</t>
  </si>
  <si>
    <t>吉林省长春市高新开发区高新越达科技产业园创谷大厦2#301室</t>
  </si>
  <si>
    <t>王铄</t>
  </si>
  <si>
    <t>wangshuo@kubo-automation.cn</t>
  </si>
  <si>
    <t>吉林省玛尔斯科技有限公司</t>
  </si>
  <si>
    <t>Jilin Mars Science and Technology Co.,Ltd.</t>
  </si>
  <si>
    <t>91220101MA154BYM1L</t>
  </si>
  <si>
    <t>招商银行股份有限公司长春一汽支行</t>
  </si>
  <si>
    <t>431901477310999</t>
  </si>
  <si>
    <t>长春汽车经济技术开发区自达大街87号405室</t>
  </si>
  <si>
    <t>张孟军</t>
  </si>
  <si>
    <t>zhangmengjun0224@163.com</t>
  </si>
  <si>
    <t>91220106MA7DJ6K5XN</t>
  </si>
  <si>
    <t>中国银行股份有限公司长春中新支行</t>
  </si>
  <si>
    <t>158857978441</t>
  </si>
  <si>
    <t>长春市绿园区正阳街以东、皓月大路以南吾悦广场项目二期商业10A-10C、12A、12B、13A、13B、15-18号18-66号</t>
  </si>
  <si>
    <t>刘丽馨</t>
  </si>
  <si>
    <t>lixin.liu@cc-jys.cn</t>
  </si>
  <si>
    <t>吉林省长春市绿园区新城吾悦广场写字楼Ｂ座2532室</t>
  </si>
  <si>
    <t>91310114MA1GUEDB81</t>
  </si>
  <si>
    <t>中国农业银行股份有限公司上海嘉定新城支行</t>
  </si>
  <si>
    <t>03835600040007079</t>
  </si>
  <si>
    <t>上海市嘉定区银翔路655号1幢10层1030室</t>
  </si>
  <si>
    <t>曾丽兰：15921397039</t>
  </si>
  <si>
    <t>曾丽兰</t>
  </si>
  <si>
    <t>zenglilan@qw-te.com</t>
  </si>
  <si>
    <t>上海市嘉定区安驰路488号CAS汽车广场A区3007</t>
  </si>
  <si>
    <t>9131 0000 7030 1101 37</t>
  </si>
  <si>
    <t>建设银行 泗泾支行</t>
  </si>
  <si>
    <t>3100 1983 0100 5922 2222</t>
  </si>
  <si>
    <t>中国上海市松江区九干路1353号</t>
  </si>
  <si>
    <t>ryan.ren@comau.com.cn</t>
  </si>
  <si>
    <t>91220103059633849M</t>
  </si>
  <si>
    <t>中国建设银行股份有限公司长春解放大路支行</t>
  </si>
  <si>
    <t>22001470500055006203</t>
  </si>
  <si>
    <t>宽城区青年路东北斗星城C-2幢203号房（电话：15104406227）</t>
  </si>
  <si>
    <t>党连宝</t>
  </si>
  <si>
    <t>guoqiang_zhangdy@163.com</t>
  </si>
  <si>
    <t>长春市高新区超群街191号中俄科技园1号楼406室，邮寄电话(18626627580 )</t>
  </si>
  <si>
    <t>9122010158623855XW</t>
  </si>
  <si>
    <t>交通银行长春阳光城支行</t>
  </si>
  <si>
    <t>221000668018010127313</t>
  </si>
  <si>
    <t>经济技术开发区机场大路7299号1301室</t>
  </si>
  <si>
    <t>刁少宇</t>
  </si>
  <si>
    <t>diaoshaoyu@163.com</t>
  </si>
  <si>
    <t>长春市高新区超越大街2688号</t>
  </si>
  <si>
    <t>915001 0732 7737 1430</t>
  </si>
  <si>
    <t>中国光大银行重庆分行大坪支行</t>
  </si>
  <si>
    <t xml:space="preserve">7853 0188 0001 58673 </t>
  </si>
  <si>
    <t>重庆市九龙坡区渝州路126号附15-5-1号</t>
  </si>
  <si>
    <t>王云</t>
  </si>
  <si>
    <t>wang.yun@cqjizhi.com</t>
  </si>
  <si>
    <t>91220102MA84J03Y68</t>
  </si>
  <si>
    <t>广发银行股份有限公司长春高新支行</t>
  </si>
  <si>
    <t>9550880226475700165</t>
  </si>
  <si>
    <t>长春市南关区乙三路以北瑞凯国际C、D-1地块C-HH-8号楼2301号</t>
  </si>
  <si>
    <t>tienan_mei@163.com</t>
  </si>
  <si>
    <t>吉林省长春市南关区瑞凯国际C8-2301  梅铁男  15104432744</t>
  </si>
  <si>
    <t>91310114569623923A</t>
  </si>
  <si>
    <t>中国建设银行漕河泾支行</t>
  </si>
  <si>
    <t>31001613402050013063</t>
  </si>
  <si>
    <t>上海市杨浦区国霞路60号7号楼609</t>
  </si>
  <si>
    <t>Tony Ming</t>
  </si>
  <si>
    <t>tony.ming@ect-tech.com</t>
  </si>
  <si>
    <t>上海市杨浦区国霞路60号君庭广场A座609</t>
  </si>
  <si>
    <t>91220101756185746Y</t>
  </si>
  <si>
    <t>招商银行长春一汽支行</t>
  </si>
  <si>
    <t>4319 0025 1310 777</t>
  </si>
  <si>
    <t>长春西新经济技术开发区长沈路4955号</t>
  </si>
  <si>
    <t>王颖</t>
  </si>
  <si>
    <t>y.wang@pentanova.com</t>
  </si>
  <si>
    <t>长春市西新经济技术开发区长沈路4955号</t>
  </si>
  <si>
    <t>上海九源晟智能科技有限公司</t>
  </si>
  <si>
    <t>Shanghai JYS Intelligent Technology Co., Ltd.</t>
  </si>
  <si>
    <t>91310114MA1GX01R0W</t>
  </si>
  <si>
    <t>浙江泰隆商业银行股份有限公司上海南翔支行</t>
  </si>
  <si>
    <t>3101 0180 2010 0003 6887</t>
  </si>
  <si>
    <t>上海市嘉定区顺达路938号2幢6层602室</t>
  </si>
  <si>
    <t>曹康</t>
  </si>
  <si>
    <t>caokang@jiuyuansheng.cn</t>
  </si>
  <si>
    <t>R-30iA/iB Fanuc</t>
  </si>
  <si>
    <t>Info for Finance</t>
  </si>
  <si>
    <t>Invoice number</t>
  </si>
  <si>
    <t>Paid</t>
  </si>
  <si>
    <t>Invoice</t>
  </si>
  <si>
    <t>Name</t>
  </si>
  <si>
    <t>Company</t>
  </si>
  <si>
    <t>Remark</t>
  </si>
  <si>
    <t>VASS-2020Q2-0001</t>
  </si>
  <si>
    <t>Y</t>
  </si>
  <si>
    <t>VASS-2020Q4-0001</t>
  </si>
  <si>
    <t>VASS-2021Q1-0001</t>
  </si>
  <si>
    <t>N</t>
  </si>
  <si>
    <t>VASS-2021Q1-0002</t>
  </si>
  <si>
    <t>已付钱，未参加考试</t>
  </si>
  <si>
    <t>VASS-2021Q1-0003</t>
  </si>
  <si>
    <t>VASS-2021Q1-0004</t>
  </si>
  <si>
    <t>VASS-2021Q1-0005</t>
  </si>
  <si>
    <t>VASS-2021Q2-0001</t>
  </si>
  <si>
    <t>VASS-2021Q2-0002</t>
  </si>
  <si>
    <t>VASS-2021Q2-0003</t>
  </si>
  <si>
    <t>VASS-2021Q2-0004</t>
  </si>
  <si>
    <t>VASS-2021Q2-0005</t>
  </si>
  <si>
    <t>VASS-2021Q2-0006</t>
  </si>
  <si>
    <t>VASS-2021Q2-0007</t>
  </si>
  <si>
    <t>VASS-2021Q2-0008</t>
  </si>
  <si>
    <t>VASS-2021Q2-0009</t>
  </si>
  <si>
    <t>VASS-2021Q3-0001</t>
  </si>
  <si>
    <t>VASS-2021Q3-0002</t>
  </si>
  <si>
    <t>VASS-2022Q1-0001</t>
  </si>
  <si>
    <t>Li,dongshao</t>
  </si>
  <si>
    <t>9:00-12:00</t>
  </si>
  <si>
    <t>Shen,feifei</t>
  </si>
  <si>
    <t>Yin,shupeng</t>
  </si>
  <si>
    <t>VASS-2022Q1-0002</t>
  </si>
  <si>
    <t>Hao, Liu</t>
  </si>
  <si>
    <t>Wang,qing</t>
  </si>
  <si>
    <t>Chen,shaoyuan</t>
  </si>
  <si>
    <t>Zhu,wenjun</t>
  </si>
  <si>
    <t>Ma,shuaihao</t>
  </si>
  <si>
    <t>Li,jiahao</t>
  </si>
  <si>
    <t>Li,rui</t>
  </si>
  <si>
    <t>Xu jincai</t>
  </si>
  <si>
    <t>Li Guangyou</t>
  </si>
  <si>
    <t>13:00-16:00</t>
  </si>
  <si>
    <t>Zhong Jian</t>
  </si>
  <si>
    <t>Shi Rongjian</t>
  </si>
  <si>
    <t>Wang Yong</t>
  </si>
  <si>
    <t>Yang ze</t>
  </si>
  <si>
    <t>Gao Yaping</t>
  </si>
  <si>
    <t>Wang Yingbo</t>
  </si>
  <si>
    <t>Wu Tong</t>
  </si>
  <si>
    <t>Ma Shuai</t>
  </si>
  <si>
    <t>WangJiun</t>
  </si>
  <si>
    <t>XuZhiming</t>
  </si>
  <si>
    <t>VASS-2022Q1-0003</t>
  </si>
  <si>
    <t>上海名苏</t>
  </si>
  <si>
    <t>Chen,Houbiao</t>
  </si>
  <si>
    <t>Qiao,Renyuan</t>
  </si>
  <si>
    <t>Wang,Yafei</t>
  </si>
  <si>
    <t>Zhao,Yue</t>
  </si>
  <si>
    <t>Xue,Zuliang.</t>
  </si>
  <si>
    <t>Cao,Bo</t>
  </si>
  <si>
    <t>lilin.wan</t>
  </si>
  <si>
    <t>haimeng.zheng</t>
  </si>
  <si>
    <t>VASS-2022Q1-0004</t>
  </si>
  <si>
    <t>He,Xiaobing</t>
  </si>
  <si>
    <r>
      <t>北京蓝剑国际旅行社有限公司</t>
    </r>
    <r>
      <rPr>
        <sz val="11"/>
        <color rgb="FF000000"/>
        <rFont val="Calibri"/>
        <family val="2"/>
        <scheme val="minor"/>
      </rPr>
      <t> </t>
    </r>
  </si>
  <si>
    <t>Wang,Jianguo</t>
  </si>
  <si>
    <t>Yu,Xianyan</t>
  </si>
  <si>
    <t>Hu,Yongjin</t>
  </si>
  <si>
    <t>Li,Hao</t>
  </si>
  <si>
    <t>Jin Chengshuai</t>
  </si>
  <si>
    <t>个人发票/普票</t>
  </si>
  <si>
    <t>Zhou,Tao</t>
  </si>
  <si>
    <t>Xu,Peng</t>
    <phoneticPr fontId="21" type="noConversion"/>
  </si>
  <si>
    <t>Jiang Yuke</t>
  </si>
  <si>
    <t>Si Liangliang</t>
  </si>
  <si>
    <t>Yang Xianduo</t>
  </si>
  <si>
    <t>Zhang Feng</t>
  </si>
  <si>
    <t>Wang ,YuanXin</t>
  </si>
  <si>
    <t>Su.Jian</t>
  </si>
  <si>
    <t>Wan.Zhen</t>
  </si>
  <si>
    <t>Feng.Tianwei</t>
  </si>
  <si>
    <t>Fen.Xing</t>
  </si>
  <si>
    <t>Xu,jinming</t>
  </si>
  <si>
    <t>Pan,Xiangxi</t>
  </si>
  <si>
    <t>Wu,Qing</t>
  </si>
  <si>
    <t>Lu,Jie</t>
  </si>
  <si>
    <t>LI,Zhongxin</t>
  </si>
  <si>
    <t>Yang,Xin</t>
  </si>
  <si>
    <t>Xu，Kai</t>
  </si>
  <si>
    <t xml:space="preserve"> Yan, Shaobin</t>
  </si>
  <si>
    <t>Guo Wenhao</t>
  </si>
  <si>
    <t>Huang Weiwei</t>
  </si>
  <si>
    <t>VASS-2022Q1-0005</t>
  </si>
  <si>
    <t>haidong,nian</t>
  </si>
  <si>
    <t>VASS-2022Q1-0006</t>
  </si>
  <si>
    <t>Shen,Rifo</t>
    <phoneticPr fontId="25" type="noConversion"/>
  </si>
  <si>
    <t>Jia,Hongle</t>
    <phoneticPr fontId="25" type="noConversion"/>
  </si>
  <si>
    <t>Zhao,Rui</t>
    <phoneticPr fontId="25" type="noConversion"/>
  </si>
  <si>
    <t>Xu,Jiawei</t>
    <phoneticPr fontId="25" type="noConversion"/>
  </si>
  <si>
    <t>Yin,Zhongchao</t>
    <phoneticPr fontId="25" type="noConversion"/>
  </si>
  <si>
    <t>Hua,Peng</t>
    <phoneticPr fontId="24" type="noConversion"/>
  </si>
  <si>
    <t>Ren,Jiuya</t>
    <phoneticPr fontId="24" type="noConversion"/>
  </si>
  <si>
    <t>Zhang,Zhongfei</t>
    <phoneticPr fontId="24" type="noConversion"/>
  </si>
  <si>
    <t>VASS-2022Q1-0007</t>
  </si>
  <si>
    <t>Chen, shuai</t>
  </si>
  <si>
    <t>Han weiwei</t>
  </si>
  <si>
    <t>Ma yuhang</t>
  </si>
  <si>
    <t>上海勃傲自动化系统技术有限公司</t>
  </si>
  <si>
    <t>Liu quan</t>
  </si>
  <si>
    <t>Li gang</t>
  </si>
  <si>
    <t>Jiang jiahao</t>
  </si>
  <si>
    <t>Cui moran</t>
  </si>
  <si>
    <t>Chen yuxuan</t>
  </si>
  <si>
    <t>Name EN</t>
  </si>
  <si>
    <t>Name CN</t>
  </si>
  <si>
    <t>ID - No.</t>
  </si>
  <si>
    <t>Company EN</t>
  </si>
  <si>
    <t>Company CN</t>
  </si>
  <si>
    <t>Due Date</t>
  </si>
  <si>
    <t>Generate Cerficate</t>
  </si>
  <si>
    <t xml:space="preserve"> </t>
  </si>
  <si>
    <t>姓名</t>
  </si>
  <si>
    <t>拼音</t>
  </si>
  <si>
    <t>身份证号</t>
  </si>
  <si>
    <t>公司</t>
  </si>
  <si>
    <t>日期</t>
  </si>
  <si>
    <t>时间</t>
  </si>
  <si>
    <t>出勤</t>
  </si>
  <si>
    <t xml:space="preserve">Modul 1 </t>
  </si>
  <si>
    <t>Modul 2</t>
  </si>
  <si>
    <t>Modul 3</t>
  </si>
  <si>
    <t>原因</t>
  </si>
  <si>
    <t>410423198105202000</t>
  </si>
  <si>
    <t>412702199505011000</t>
  </si>
  <si>
    <t>私事</t>
  </si>
  <si>
    <t>60%</t>
  </si>
  <si>
    <t>57%</t>
  </si>
  <si>
    <t>63%</t>
  </si>
  <si>
    <t>37%</t>
  </si>
  <si>
    <t>40%</t>
  </si>
  <si>
    <t>53%</t>
  </si>
  <si>
    <t>疫情</t>
  </si>
  <si>
    <t>73%</t>
  </si>
  <si>
    <t>50%</t>
  </si>
  <si>
    <t>WangJiXun</t>
  </si>
  <si>
    <t>80%</t>
  </si>
  <si>
    <t>97%</t>
  </si>
  <si>
    <t>340122199002011000</t>
  </si>
  <si>
    <t>77%</t>
  </si>
  <si>
    <t>47%</t>
  </si>
  <si>
    <t>340828198908311000</t>
  </si>
  <si>
    <t>贾洪乐</t>
  </si>
  <si>
    <t>22042119971026391X</t>
  </si>
  <si>
    <t>赵瑞</t>
  </si>
  <si>
    <t>370126200012094219</t>
  </si>
  <si>
    <t>徐佳伟</t>
  </si>
  <si>
    <t>230904199904100310</t>
  </si>
  <si>
    <t>尹忠超</t>
  </si>
  <si>
    <t>220182199802193118</t>
  </si>
  <si>
    <t>华朋</t>
  </si>
  <si>
    <t>37040319890514561X</t>
  </si>
  <si>
    <t>610430198709210000</t>
  </si>
  <si>
    <t>Chen, shuai</t>
    <phoneticPr fontId="25" type="noConversion"/>
  </si>
  <si>
    <t>Han weiwei</t>
    <phoneticPr fontId="25" type="noConversion"/>
  </si>
  <si>
    <t>Ma yuhang</t>
    <phoneticPr fontId="25" type="noConversion"/>
  </si>
  <si>
    <t>Liu quan</t>
    <phoneticPr fontId="25" type="noConversion"/>
  </si>
  <si>
    <t>Li gang</t>
    <phoneticPr fontId="25" type="noConversion"/>
  </si>
  <si>
    <t>Jiang jiahao</t>
    <phoneticPr fontId="25" type="noConversion"/>
  </si>
  <si>
    <t>Cui moran</t>
    <phoneticPr fontId="25" type="noConversion"/>
  </si>
  <si>
    <t>Chen yuxuan</t>
    <phoneticPr fontId="25" type="noConversion"/>
  </si>
  <si>
    <t>ReiterDaten</t>
  </si>
  <si>
    <t>Zeile Tabellen Überschriften</t>
  </si>
  <si>
    <t>Spalte Überschrift Name EN</t>
  </si>
  <si>
    <t>Spalte Überschrift ID EN</t>
  </si>
  <si>
    <t>Spalte Überschrift Company EN</t>
  </si>
  <si>
    <t>Spalte Überschrift Name CN</t>
  </si>
  <si>
    <t>Spalte Überschrift ID CN</t>
  </si>
  <si>
    <t>Spalte Überschrift Company CN</t>
  </si>
  <si>
    <t>Spalte Überschrift Datum der Prüfung</t>
  </si>
  <si>
    <t>Spalte Überschrift Bestanden</t>
  </si>
  <si>
    <t>Zeile  Start erster Datensatz</t>
  </si>
  <si>
    <t>Spalte Subject of Examination</t>
  </si>
  <si>
    <t>Letzt_Generierung</t>
  </si>
  <si>
    <t>Spalte_Generierung</t>
  </si>
  <si>
    <t>Fehlgeschlagen</t>
  </si>
  <si>
    <t>Erfolgreich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</si>
</sst>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-* #,##0.00_-;\-* #,##0.00_-;_-* &quot;-&quot;??_-;_-@_-"/>
    <numFmt numFmtId="165" formatCode="_ * #,##0.00_ ;_ * \-#,##0.00_ ;_ * &quot;-&quot;??_ ;_ @_ "/>
    <numFmt numFmtId="166" formatCode="[$-407]d\.\ mmm\.\ yyyy;@"/>
    <numFmt numFmtId="167" formatCode="d\.m\.yyyy;@"/>
    <numFmt numFmtId="168" formatCode="[$-409]d\-mmm\-yy;@"/>
  </numFmts>
  <fonts count="104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3"/>
      <charset val="134"/>
      <scheme val="minor"/>
    </font>
    <font>
      <b/>
      <sz val="16"/>
      <color theme="1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sz val="12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2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1"/>
      <color theme="1"/>
      <name val="Calibri"/>
      <family val="3"/>
      <charset val="134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charset val="1"/>
      <scheme val="minor"/>
    </font>
    <font>
      <sz val="11"/>
      <color theme="1" tint="4.9989318521683403E-2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1"/>
      <scheme val="minor"/>
    </font>
    <font>
      <sz val="11"/>
      <name val="宋体"/>
    </font>
    <font>
      <sz val="11"/>
      <color theme="1"/>
      <name val="Calibri"/>
      <family val="2"/>
      <scheme val="minor"/>
    </font>
    <font>
      <sz val="11"/>
      <name val="微软雅黑"/>
      <family val="2"/>
      <charset val="134"/>
    </font>
    <font>
      <sz val="11"/>
      <name val="Calibri"/>
      <family val="2"/>
    </font>
    <font>
      <sz val="14"/>
      <name val="Arial"/>
      <family val="2"/>
    </font>
    <font>
      <sz val="14"/>
      <color theme="1"/>
      <name val="Arial"/>
      <family val="2"/>
    </font>
    <font>
      <sz val="12"/>
      <color theme="1"/>
      <name val="宋体"/>
      <family val="3"/>
      <charset val="134"/>
    </font>
    <font>
      <sz val="1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Tahoma"/>
      <family val="2"/>
    </font>
    <font>
      <sz val="11"/>
      <name val="等线"/>
    </font>
    <font>
      <sz val="11"/>
      <color rgb="FF000000"/>
      <name val="等线"/>
    </font>
    <font>
      <sz val="12"/>
      <color theme="1"/>
      <name val="微软雅黑"/>
      <family val="2"/>
      <charset val="134"/>
    </font>
    <font>
      <u/>
      <sz val="11"/>
      <color theme="10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i/>
      <sz val="11"/>
      <color theme="1"/>
      <name val="Calibri"/>
      <family val="2"/>
      <scheme val="minor"/>
    </font>
    <font>
      <sz val="12"/>
      <color theme="1"/>
      <name val="宋体"/>
      <family val="2"/>
      <charset val="134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i/>
      <sz val="1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1"/>
      <color rgb="FF000000"/>
      <name val="Microsoft YaHei UI"/>
      <family val="2"/>
    </font>
    <font>
      <sz val="11"/>
      <color rgb="FF0D0D0D"/>
      <name val="Calibri"/>
      <family val="2"/>
      <scheme val="minor"/>
    </font>
    <font>
      <sz val="9"/>
      <name val="Calibri"/>
      <family val="3"/>
      <charset val="134"/>
      <scheme val="minor"/>
    </font>
    <font>
      <sz val="12"/>
      <color theme="1"/>
      <name val="宋体"/>
    </font>
    <font>
      <u/>
      <sz val="11"/>
      <color theme="10"/>
      <name val="Arial"/>
      <family val="2"/>
    </font>
    <font>
      <sz val="12"/>
      <color rgb="FFFF0000"/>
      <name val="Arial"/>
      <family val="2"/>
    </font>
    <font>
      <sz val="11"/>
      <color rgb="FFFF0000"/>
      <name val="Calibri"/>
      <family val="2"/>
      <charset val="1"/>
      <scheme val="minor"/>
    </font>
    <font>
      <sz val="12"/>
      <color rgb="FF000000"/>
      <name val="SimSun"/>
    </font>
    <font>
      <sz val="12"/>
      <color rgb="FF000000"/>
      <name val="Calibri"/>
      <family val="2"/>
      <scheme val="minor"/>
    </font>
    <font>
      <sz val="10.5"/>
      <color rgb="FF000000"/>
      <name val="Microsoft YaHei UI"/>
      <family val="2"/>
    </font>
    <font>
      <sz val="10.5"/>
      <color rgb="FF000000"/>
      <name val="Verdana"/>
      <family val="2"/>
    </font>
    <font>
      <sz val="11"/>
      <name val="宋体"/>
    </font>
    <font>
      <sz val="11"/>
      <name val="宋体"/>
      <family val="3"/>
      <charset val="134"/>
    </font>
    <font>
      <u/>
      <sz val="11"/>
      <color theme="10"/>
      <name val="Calibri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name val="等线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Times New Roman"/>
      <family val="1"/>
    </font>
    <font>
      <sz val="9.75"/>
      <color rgb="FF4F4F4F"/>
      <name val="Microsoft YaHei UI"/>
      <family val="2"/>
    </font>
    <font>
      <sz val="11"/>
      <color theme="1"/>
      <name val="宋体"/>
    </font>
    <font>
      <sz val="11"/>
      <name val="Arial"/>
      <family val="2"/>
    </font>
    <font>
      <sz val="10.5"/>
      <color rgb="FF000000"/>
      <name val="DengXian"/>
    </font>
    <font>
      <sz val="10.5"/>
      <color rgb="FF000000"/>
      <name val="Tahoma"/>
      <family val="2"/>
    </font>
    <font>
      <sz val="11"/>
      <color theme="1"/>
      <name val="等线"/>
    </font>
    <font>
      <sz val="11"/>
      <color theme="1"/>
      <name val="等线"/>
      <family val="2"/>
      <charset val="134"/>
    </font>
    <font>
      <sz val="11"/>
      <color theme="1"/>
      <name val="等线"/>
      <family val="2"/>
    </font>
    <font>
      <sz val="11"/>
      <color theme="1"/>
      <name val="等线"/>
      <family val="3"/>
      <charset val="134"/>
    </font>
    <font>
      <sz val="11"/>
      <color theme="1"/>
      <name val="DengXian"/>
      <family val="3"/>
      <charset val="134"/>
    </font>
    <font>
      <sz val="11"/>
      <color rgb="FF000000"/>
      <name val="DengXian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rgb="FF0000FF"/>
      <name val="Calibri"/>
      <family val="2"/>
      <scheme val="minor"/>
    </font>
    <font>
      <sz val="11"/>
      <color rgb="FF000000"/>
      <name val="Arial"/>
      <family val="2"/>
    </font>
    <font>
      <sz val="11"/>
      <color theme="1"/>
      <name val="DengXian"/>
    </font>
    <font>
      <sz val="11"/>
      <color theme="1"/>
      <name val="Calibri"/>
      <family val="2"/>
      <scheme val="minor"/>
    </font>
    <font>
      <u/>
      <sz val="11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55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44">
    <xf numFmtId="0" fontId="0" fillId="0" borderId="0"/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28" fillId="3" borderId="2" applyNumberFormat="0" applyAlignment="0" applyProtection="0">
      <alignment vertical="center"/>
    </xf>
    <xf numFmtId="164" fontId="26" fillId="0" borderId="0" applyFont="0" applyFill="0" applyBorder="0" applyAlignment="0" applyProtection="0"/>
    <xf numFmtId="0" fontId="32" fillId="0" borderId="0"/>
    <xf numFmtId="0" fontId="34" fillId="0" borderId="0"/>
    <xf numFmtId="164" fontId="26" fillId="0" borderId="0" applyFont="0" applyFill="0" applyBorder="0" applyAlignment="0" applyProtection="0"/>
    <xf numFmtId="0" fontId="26" fillId="0" borderId="0"/>
    <xf numFmtId="0" fontId="39" fillId="0" borderId="0">
      <alignment vertical="center"/>
    </xf>
    <xf numFmtId="0" fontId="40" fillId="0" borderId="0">
      <alignment vertical="center"/>
    </xf>
    <xf numFmtId="165" fontId="26" fillId="0" borderId="0" applyFont="0" applyFill="0" applyBorder="0" applyAlignment="0" applyProtection="0"/>
    <xf numFmtId="0" fontId="23" fillId="0" borderId="0"/>
    <xf numFmtId="0" fontId="23" fillId="0" borderId="0"/>
    <xf numFmtId="0" fontId="22" fillId="0" borderId="0"/>
    <xf numFmtId="0" fontId="22" fillId="0" borderId="0"/>
    <xf numFmtId="0" fontId="47" fillId="0" borderId="0"/>
    <xf numFmtId="0" fontId="40" fillId="0" borderId="0"/>
    <xf numFmtId="0" fontId="40" fillId="0" borderId="0"/>
    <xf numFmtId="0" fontId="21" fillId="0" borderId="0"/>
    <xf numFmtId="0" fontId="21" fillId="0" borderId="0"/>
    <xf numFmtId="0" fontId="50" fillId="0" borderId="0">
      <alignment vertical="center"/>
    </xf>
    <xf numFmtId="0" fontId="51" fillId="0" borderId="0">
      <protection locked="0"/>
    </xf>
    <xf numFmtId="0" fontId="20" fillId="0" borderId="0"/>
    <xf numFmtId="0" fontId="20" fillId="0" borderId="0"/>
    <xf numFmtId="0" fontId="53" fillId="0" borderId="0" applyNumberForma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0" fontId="5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8" fillId="0" borderId="0">
      <alignment vertical="center"/>
    </xf>
    <xf numFmtId="0" fontId="17" fillId="0" borderId="0"/>
    <xf numFmtId="0" fontId="17" fillId="0" borderId="0"/>
    <xf numFmtId="0" fontId="64" fillId="0" borderId="0"/>
    <xf numFmtId="0" fontId="65" fillId="0" borderId="0"/>
    <xf numFmtId="0" fontId="65" fillId="0" borderId="0"/>
    <xf numFmtId="0" fontId="66" fillId="0" borderId="0">
      <alignment vertical="center"/>
    </xf>
    <xf numFmtId="43" fontId="66" fillId="0" borderId="0" applyFont="0" applyFill="0" applyBorder="0" applyAlignment="0" applyProtection="0">
      <alignment vertical="center"/>
    </xf>
    <xf numFmtId="0" fontId="16" fillId="0" borderId="0"/>
    <xf numFmtId="0" fontId="54" fillId="0" borderId="0"/>
    <xf numFmtId="0" fontId="16" fillId="0" borderId="0"/>
    <xf numFmtId="164" fontId="16" fillId="0" borderId="0" applyFont="0" applyFill="0" applyBorder="0" applyAlignment="0" applyProtection="0"/>
    <xf numFmtId="0" fontId="16" fillId="0" borderId="0"/>
    <xf numFmtId="164" fontId="16" fillId="0" borderId="0" applyFont="0" applyFill="0" applyBorder="0" applyAlignment="0" applyProtection="0"/>
    <xf numFmtId="0" fontId="16" fillId="0" borderId="0"/>
    <xf numFmtId="0" fontId="16" fillId="0" borderId="0">
      <alignment vertical="center"/>
    </xf>
    <xf numFmtId="165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1" fillId="0" borderId="0"/>
    <xf numFmtId="0" fontId="8" fillId="0" borderId="0"/>
    <xf numFmtId="0" fontId="8" fillId="0" borderId="0"/>
    <xf numFmtId="0" fontId="7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2" fillId="0" borderId="0"/>
    <xf numFmtId="0" fontId="81" fillId="0" borderId="0">
      <protection locked="0"/>
    </xf>
    <xf numFmtId="165" fontId="32" fillId="0" borderId="0" applyFont="0" applyFill="0" applyBorder="0" applyAlignment="0" applyProtection="0"/>
    <xf numFmtId="0" fontId="32" fillId="0" borderId="0"/>
    <xf numFmtId="0" fontId="80" fillId="0" borderId="0" applyNumberFormat="0" applyFill="0" applyBorder="0" applyAlignment="0" applyProtection="0"/>
    <xf numFmtId="164" fontId="32" fillId="0" borderId="0" applyFont="0" applyFill="0" applyBorder="0" applyAlignment="0" applyProtection="0"/>
    <xf numFmtId="164" fontId="32" fillId="0" borderId="0" applyFont="0" applyFill="0" applyBorder="0" applyAlignment="0" applyProtection="0"/>
    <xf numFmtId="164" fontId="32" fillId="0" borderId="0" applyFont="0" applyFill="0" applyBorder="0" applyAlignment="0" applyProtection="0"/>
    <xf numFmtId="0" fontId="27" fillId="0" borderId="0">
      <alignment vertical="center"/>
    </xf>
    <xf numFmtId="165" fontId="32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165" fontId="32" fillId="0" borderId="0" applyFont="0" applyFill="0" applyBorder="0" applyAlignment="0" applyProtection="0"/>
    <xf numFmtId="0" fontId="32" fillId="0" borderId="0"/>
    <xf numFmtId="0" fontId="32" fillId="0" borderId="0"/>
    <xf numFmtId="165" fontId="32" fillId="0" borderId="0" applyFont="0" applyFill="0" applyBorder="0" applyAlignment="0" applyProtection="0">
      <alignment vertical="center"/>
    </xf>
    <xf numFmtId="0" fontId="32" fillId="0" borderId="0"/>
    <xf numFmtId="164" fontId="32" fillId="0" borderId="0" applyFont="0" applyFill="0" applyBorder="0" applyAlignment="0" applyProtection="0"/>
    <xf numFmtId="165" fontId="32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0" borderId="0">
      <alignment vertical="center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82" fillId="0" borderId="0">
      <alignment vertical="center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8" fillId="14" borderId="2" applyNumberFormat="0" applyAlignment="0" applyProtection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3" fillId="0" borderId="0" applyNumberFormat="0" applyFill="0" applyBorder="0" applyAlignment="0" applyProtection="0"/>
    <xf numFmtId="0" fontId="32" fillId="0" borderId="0">
      <alignment vertical="center"/>
    </xf>
    <xf numFmtId="0" fontId="5" fillId="0" borderId="0"/>
    <xf numFmtId="0" fontId="5" fillId="0" borderId="0"/>
    <xf numFmtId="0" fontId="97" fillId="0" borderId="0"/>
    <xf numFmtId="0" fontId="98" fillId="0" borderId="0"/>
    <xf numFmtId="0" fontId="98" fillId="0" borderId="0"/>
    <xf numFmtId="0" fontId="4" fillId="0" borderId="0"/>
    <xf numFmtId="0" fontId="99" fillId="0" borderId="0" applyNumberFormat="0" applyFill="0" applyBorder="0" applyAlignment="0" applyProtection="0">
      <alignment vertical="center"/>
    </xf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>
      <alignment vertical="center"/>
    </xf>
    <xf numFmtId="165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66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>
      <alignment vertical="center"/>
    </xf>
    <xf numFmtId="165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9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2" fillId="0" borderId="0" applyFont="0" applyFill="0" applyBorder="0" applyAlignment="0" applyProtection="0"/>
    <xf numFmtId="164" fontId="32" fillId="0" borderId="0" applyFont="0" applyFill="0" applyBorder="0" applyAlignment="0" applyProtection="0"/>
    <xf numFmtId="164" fontId="32" fillId="0" borderId="0" applyFont="0" applyFill="0" applyBorder="0" applyAlignment="0" applyProtection="0"/>
    <xf numFmtId="164" fontId="3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02" fillId="0" borderId="0"/>
    <xf numFmtId="0" fontId="2" fillId="0" borderId="0"/>
  </cellStyleXfs>
  <cellXfs count="592">
    <xf numFmtId="0" fontId="0" fillId="0" borderId="0" xfId="0"/>
    <xf numFmtId="49" fontId="30" fillId="2" borderId="1" xfId="1" applyNumberFormat="1" applyFont="1" applyFill="1" applyBorder="1" applyAlignment="1">
      <alignment horizontal="center" vertical="center"/>
    </xf>
    <xf numFmtId="49" fontId="29" fillId="0" borderId="1" xfId="1" applyNumberFormat="1" applyFont="1" applyFill="1" applyBorder="1" applyAlignment="1">
      <alignment horizontal="center" vertical="center" wrapText="1"/>
    </xf>
    <xf numFmtId="0" fontId="0" fillId="4" borderId="0" xfId="0" applyFill="1"/>
    <xf numFmtId="0" fontId="0" fillId="5" borderId="0" xfId="0" applyFill="1"/>
    <xf numFmtId="0" fontId="29" fillId="0" borderId="4" xfId="1" applyFont="1" applyFill="1" applyBorder="1" applyAlignment="1">
      <alignment horizontal="center" vertical="center" wrapText="1"/>
    </xf>
    <xf numFmtId="0" fontId="0" fillId="0" borderId="1" xfId="0" quotePrefix="1" applyBorder="1"/>
    <xf numFmtId="0" fontId="35" fillId="0" borderId="1" xfId="0" applyNumberFormat="1" applyFont="1" applyBorder="1" applyAlignment="1">
      <alignment vertical="center"/>
    </xf>
    <xf numFmtId="0" fontId="0" fillId="0" borderId="1" xfId="0" quotePrefix="1" applyNumberFormat="1" applyFill="1" applyBorder="1" applyAlignment="1">
      <alignment vertical="center"/>
    </xf>
    <xf numFmtId="0" fontId="31" fillId="0" borderId="1" xfId="1" applyNumberFormat="1" applyFont="1" applyFill="1" applyBorder="1" applyAlignment="1">
      <alignment horizontal="center" vertical="center" wrapText="1"/>
    </xf>
    <xf numFmtId="0" fontId="0" fillId="0" borderId="1" xfId="0" applyNumberFormat="1" applyBorder="1" applyAlignment="1">
      <alignment horizontal="left" vertical="center" wrapText="1"/>
    </xf>
    <xf numFmtId="0" fontId="0" fillId="0" borderId="1" xfId="0" applyNumberFormat="1" applyBorder="1" applyAlignment="1">
      <alignment vertical="center"/>
    </xf>
    <xf numFmtId="0" fontId="0" fillId="0" borderId="1" xfId="0" applyNumberFormat="1" applyBorder="1" applyAlignment="1">
      <alignment horizontal="left" vertical="center"/>
    </xf>
    <xf numFmtId="0" fontId="0" fillId="0" borderId="1" xfId="0" quotePrefix="1" applyNumberFormat="1" applyBorder="1"/>
    <xf numFmtId="0" fontId="0" fillId="0" borderId="1" xfId="0" applyNumberFormat="1" applyBorder="1" applyAlignment="1">
      <alignment horizontal="left"/>
    </xf>
    <xf numFmtId="0" fontId="0" fillId="0" borderId="1" xfId="0" quotePrefix="1" applyNumberFormat="1" applyBorder="1" applyAlignment="1">
      <alignment horizontal="left"/>
    </xf>
    <xf numFmtId="0" fontId="0" fillId="0" borderId="1" xfId="0" applyBorder="1"/>
    <xf numFmtId="0" fontId="29" fillId="0" borderId="1" xfId="1" applyFont="1" applyFill="1" applyBorder="1" applyAlignment="1">
      <alignment horizontal="center" vertical="center" wrapText="1"/>
    </xf>
    <xf numFmtId="0" fontId="0" fillId="0" borderId="0" xfId="0" applyNumberFormat="1"/>
    <xf numFmtId="0" fontId="37" fillId="0" borderId="0" xfId="0" applyFont="1"/>
    <xf numFmtId="0" fontId="38" fillId="0" borderId="0" xfId="0" applyNumberFormat="1" applyFont="1"/>
    <xf numFmtId="49" fontId="0" fillId="0" borderId="0" xfId="0" applyNumberFormat="1"/>
    <xf numFmtId="0" fontId="0" fillId="7" borderId="0" xfId="0" applyFill="1"/>
    <xf numFmtId="14" fontId="0" fillId="7" borderId="0" xfId="0" applyNumberFormat="1" applyFill="1"/>
    <xf numFmtId="0" fontId="0" fillId="8" borderId="0" xfId="0" applyFill="1"/>
    <xf numFmtId="22" fontId="0" fillId="8" borderId="0" xfId="0" applyNumberFormat="1" applyFill="1"/>
    <xf numFmtId="0" fontId="0" fillId="0" borderId="1" xfId="0" applyFill="1" applyBorder="1" applyAlignment="1">
      <alignment horizontal="center"/>
    </xf>
    <xf numFmtId="49" fontId="0" fillId="0" borderId="1" xfId="0" quotePrefix="1" applyNumberFormat="1" applyBorder="1"/>
    <xf numFmtId="0" fontId="0" fillId="0" borderId="1" xfId="0" applyFill="1" applyBorder="1"/>
    <xf numFmtId="0" fontId="0" fillId="0" borderId="1" xfId="0" quotePrefix="1" applyBorder="1" applyAlignment="1">
      <alignment horizontal="left"/>
    </xf>
    <xf numFmtId="0" fontId="0" fillId="0" borderId="1" xfId="0" applyNumberFormat="1" applyFill="1" applyBorder="1"/>
    <xf numFmtId="0" fontId="0" fillId="0" borderId="1" xfId="0" quotePrefix="1" applyNumberFormat="1" applyFill="1" applyBorder="1"/>
    <xf numFmtId="0" fontId="0" fillId="0" borderId="1" xfId="0" quotePrefix="1" applyFill="1" applyBorder="1"/>
    <xf numFmtId="0" fontId="0" fillId="2" borderId="1" xfId="0" applyFill="1" applyBorder="1"/>
    <xf numFmtId="0" fontId="0" fillId="6" borderId="1" xfId="0" applyFill="1" applyBorder="1" applyAlignment="1">
      <alignment horizontal="center"/>
    </xf>
    <xf numFmtId="0" fontId="0" fillId="6" borderId="0" xfId="0" applyFill="1"/>
    <xf numFmtId="0" fontId="33" fillId="0" borderId="0" xfId="0" applyFont="1" applyAlignment="1"/>
    <xf numFmtId="0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2" borderId="1" xfId="0" quotePrefix="1" applyFill="1" applyBorder="1"/>
    <xf numFmtId="0" fontId="31" fillId="2" borderId="1" xfId="1" applyNumberFormat="1" applyFont="1" applyFill="1" applyBorder="1" applyAlignment="1">
      <alignment horizontal="center" vertical="center" wrapText="1"/>
    </xf>
    <xf numFmtId="0" fontId="0" fillId="2" borderId="4" xfId="0" applyFill="1" applyBorder="1"/>
    <xf numFmtId="49" fontId="39" fillId="2" borderId="6" xfId="10" applyNumberFormat="1" applyFont="1" applyFill="1" applyBorder="1" applyAlignment="1">
      <alignment horizontal="center" vertical="center" wrapText="1"/>
    </xf>
    <xf numFmtId="0" fontId="0" fillId="2" borderId="1" xfId="0" applyNumberFormat="1" applyFill="1" applyBorder="1"/>
    <xf numFmtId="0" fontId="0" fillId="2" borderId="1" xfId="0" quotePrefix="1" applyNumberFormat="1" applyFill="1" applyBorder="1"/>
    <xf numFmtId="0" fontId="0" fillId="2" borderId="1" xfId="0" applyNumberFormat="1" applyFont="1" applyFill="1" applyBorder="1"/>
    <xf numFmtId="0" fontId="0" fillId="0" borderId="7" xfId="0" applyBorder="1"/>
    <xf numFmtId="0" fontId="0" fillId="0" borderId="6" xfId="0" applyBorder="1" applyAlignment="1">
      <alignment horizontal="center"/>
    </xf>
    <xf numFmtId="0" fontId="0" fillId="0" borderId="6" xfId="0" applyNumberFormat="1" applyBorder="1"/>
    <xf numFmtId="0" fontId="0" fillId="0" borderId="6" xfId="0" quotePrefix="1" applyNumberFormat="1" applyBorder="1"/>
    <xf numFmtId="0" fontId="0" fillId="0" borderId="6" xfId="0" quotePrefix="1" applyBorder="1"/>
    <xf numFmtId="0" fontId="41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vertical="center"/>
    </xf>
    <xf numFmtId="49" fontId="42" fillId="2" borderId="1" xfId="0" applyNumberFormat="1" applyFont="1" applyFill="1" applyBorder="1" applyAlignment="1">
      <alignment vertical="center"/>
    </xf>
    <xf numFmtId="0" fontId="42" fillId="2" borderId="1" xfId="0" applyFont="1" applyFill="1" applyBorder="1" applyAlignment="1">
      <alignment horizontal="left" vertical="center"/>
    </xf>
    <xf numFmtId="167" fontId="31" fillId="0" borderId="1" xfId="1" applyNumberFormat="1" applyFont="1" applyFill="1" applyBorder="1" applyAlignment="1">
      <alignment horizontal="center" vertical="center" wrapText="1"/>
    </xf>
    <xf numFmtId="167" fontId="31" fillId="2" borderId="1" xfId="1" applyNumberFormat="1" applyFont="1" applyFill="1" applyBorder="1" applyAlignment="1">
      <alignment horizontal="center" vertical="center" wrapText="1"/>
    </xf>
    <xf numFmtId="167" fontId="0" fillId="0" borderId="1" xfId="0" applyNumberFormat="1" applyBorder="1"/>
    <xf numFmtId="0" fontId="43" fillId="0" borderId="1" xfId="1" applyFont="1" applyFill="1" applyBorder="1" applyAlignment="1">
      <alignment horizontal="center" vertical="center" wrapText="1"/>
    </xf>
    <xf numFmtId="0" fontId="43" fillId="4" borderId="1" xfId="1" applyNumberFormat="1" applyFont="1" applyFill="1" applyBorder="1" applyAlignment="1">
      <alignment horizontal="center" vertical="center"/>
    </xf>
    <xf numFmtId="0" fontId="44" fillId="0" borderId="1" xfId="0" applyFont="1" applyBorder="1" applyAlignment="1">
      <alignment horizontal="center"/>
    </xf>
    <xf numFmtId="0" fontId="44" fillId="0" borderId="1" xfId="0" applyFont="1" applyBorder="1"/>
    <xf numFmtId="0" fontId="44" fillId="2" borderId="1" xfId="0" applyFont="1" applyFill="1" applyBorder="1" applyAlignment="1">
      <alignment horizontal="center"/>
    </xf>
    <xf numFmtId="0" fontId="36" fillId="0" borderId="1" xfId="0" applyNumberFormat="1" applyFont="1" applyBorder="1" applyAlignment="1">
      <alignment horizontal="left" vertical="center"/>
    </xf>
    <xf numFmtId="49" fontId="45" fillId="2" borderId="1" xfId="14" applyNumberFormat="1" applyFont="1" applyFill="1" applyBorder="1" applyAlignment="1">
      <alignment horizontal="center" vertical="center"/>
    </xf>
    <xf numFmtId="0" fontId="0" fillId="0" borderId="1" xfId="0" quotePrefix="1" applyNumberFormat="1" applyBorder="1" applyAlignment="1">
      <alignment horizontal="left" vertical="center"/>
    </xf>
    <xf numFmtId="49" fontId="27" fillId="2" borderId="1" xfId="15" applyNumberFormat="1" applyFont="1" applyFill="1" applyBorder="1" applyAlignment="1">
      <alignment horizontal="center" vertical="center"/>
    </xf>
    <xf numFmtId="0" fontId="46" fillId="0" borderId="1" xfId="0" applyNumberFormat="1" applyFont="1" applyBorder="1" applyAlignment="1">
      <alignment vertical="center"/>
    </xf>
    <xf numFmtId="49" fontId="46" fillId="0" borderId="1" xfId="0" quotePrefix="1" applyNumberFormat="1" applyFont="1" applyFill="1" applyBorder="1" applyAlignment="1">
      <alignment vertical="center"/>
    </xf>
    <xf numFmtId="0" fontId="46" fillId="0" borderId="1" xfId="0" quotePrefix="1" applyNumberFormat="1" applyFont="1" applyBorder="1" applyAlignment="1">
      <alignment vertical="center"/>
    </xf>
    <xf numFmtId="0" fontId="46" fillId="0" borderId="1" xfId="0" quotePrefix="1" applyNumberFormat="1" applyFont="1" applyBorder="1" applyAlignment="1">
      <alignment horizontal="left" vertical="center"/>
    </xf>
    <xf numFmtId="49" fontId="45" fillId="2" borderId="1" xfId="15" applyNumberFormat="1" applyFont="1" applyFill="1" applyBorder="1" applyAlignment="1">
      <alignment horizontal="center" vertical="center"/>
    </xf>
    <xf numFmtId="0" fontId="32" fillId="0" borderId="1" xfId="17" applyNumberFormat="1" applyFont="1" applyBorder="1" applyAlignment="1">
      <alignment horizontal="left"/>
    </xf>
    <xf numFmtId="49" fontId="32" fillId="0" borderId="1" xfId="18" quotePrefix="1" applyNumberFormat="1" applyFont="1" applyFill="1" applyBorder="1" applyAlignment="1">
      <alignment horizontal="left" vertical="center"/>
    </xf>
    <xf numFmtId="0" fontId="48" fillId="0" borderId="1" xfId="17" quotePrefix="1" applyNumberFormat="1" applyFont="1" applyBorder="1" applyAlignment="1">
      <alignment horizontal="left" vertical="center"/>
    </xf>
    <xf numFmtId="49" fontId="27" fillId="2" borderId="1" xfId="18" applyNumberFormat="1" applyFont="1" applyFill="1" applyBorder="1" applyAlignment="1">
      <alignment horizontal="center" vertical="center"/>
    </xf>
    <xf numFmtId="0" fontId="48" fillId="0" borderId="1" xfId="17" applyNumberFormat="1" applyFont="1" applyBorder="1" applyAlignment="1">
      <alignment horizontal="center" vertical="center"/>
    </xf>
    <xf numFmtId="49" fontId="45" fillId="2" borderId="1" xfId="18" applyNumberFormat="1" applyFont="1" applyFill="1" applyBorder="1" applyAlignment="1">
      <alignment horizontal="center" vertical="center"/>
    </xf>
    <xf numFmtId="0" fontId="47" fillId="0" borderId="1" xfId="17" applyNumberFormat="1" applyBorder="1" applyAlignment="1">
      <alignment horizontal="center" vertical="center"/>
    </xf>
    <xf numFmtId="0" fontId="47" fillId="0" borderId="1" xfId="17" applyNumberFormat="1" applyBorder="1" applyAlignment="1">
      <alignment horizontal="center"/>
    </xf>
    <xf numFmtId="0" fontId="47" fillId="0" borderId="1" xfId="17" quotePrefix="1" applyNumberFormat="1" applyFill="1" applyBorder="1" applyAlignment="1">
      <alignment vertical="center"/>
    </xf>
    <xf numFmtId="49" fontId="49" fillId="0" borderId="1" xfId="0" applyNumberFormat="1" applyFon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 wrapText="1"/>
    </xf>
    <xf numFmtId="0" fontId="32" fillId="2" borderId="1" xfId="17" applyFont="1" applyFill="1" applyBorder="1" applyAlignment="1">
      <alignment horizontal="center"/>
    </xf>
    <xf numFmtId="49" fontId="45" fillId="9" borderId="1" xfId="18" applyNumberFormat="1" applyFont="1" applyFill="1" applyBorder="1" applyAlignment="1">
      <alignment horizontal="center" vertical="center"/>
    </xf>
    <xf numFmtId="0" fontId="32" fillId="9" borderId="1" xfId="17" applyFont="1" applyFill="1" applyBorder="1" applyAlignment="1">
      <alignment horizontal="center"/>
    </xf>
    <xf numFmtId="49" fontId="52" fillId="2" borderId="1" xfId="24" applyNumberFormat="1" applyFont="1" applyFill="1" applyBorder="1" applyAlignment="1">
      <alignment horizontal="center" vertical="center"/>
    </xf>
    <xf numFmtId="0" fontId="0" fillId="6" borderId="1" xfId="0" applyNumberFormat="1" applyFill="1" applyBorder="1"/>
    <xf numFmtId="49" fontId="0" fillId="6" borderId="1" xfId="0" quotePrefix="1" applyNumberFormat="1" applyFill="1" applyBorder="1"/>
    <xf numFmtId="0" fontId="0" fillId="6" borderId="1" xfId="0" applyNumberFormat="1" applyFill="1" applyBorder="1" applyAlignment="1">
      <alignment horizontal="left"/>
    </xf>
    <xf numFmtId="49" fontId="52" fillId="2" borderId="1" xfId="1" applyNumberFormat="1" applyFont="1" applyFill="1" applyBorder="1" applyAlignment="1">
      <alignment horizontal="center" vertical="center"/>
    </xf>
    <xf numFmtId="0" fontId="54" fillId="0" borderId="1" xfId="0" applyNumberFormat="1" applyFont="1" applyBorder="1" applyAlignment="1">
      <alignment vertical="center"/>
    </xf>
    <xf numFmtId="0" fontId="54" fillId="0" borderId="1" xfId="0" quotePrefix="1" applyNumberFormat="1" applyFont="1" applyBorder="1" applyAlignment="1">
      <alignment vertical="center"/>
    </xf>
    <xf numFmtId="49" fontId="56" fillId="2" borderId="1" xfId="1" applyNumberFormat="1" applyFont="1" applyFill="1" applyBorder="1" applyAlignment="1">
      <alignment horizontal="center" vertical="center"/>
    </xf>
    <xf numFmtId="0" fontId="57" fillId="0" borderId="1" xfId="0" applyNumberFormat="1" applyFont="1" applyBorder="1" applyAlignment="1">
      <alignment vertical="center"/>
    </xf>
    <xf numFmtId="0" fontId="54" fillId="0" borderId="1" xfId="0" quotePrefix="1" applyNumberFormat="1" applyFont="1" applyBorder="1" applyAlignment="1">
      <alignment horizontal="left" vertical="center"/>
    </xf>
    <xf numFmtId="167" fontId="31" fillId="0" borderId="1" xfId="1" applyNumberFormat="1" applyFont="1" applyFill="1" applyBorder="1" applyAlignment="1" applyProtection="1">
      <alignment horizontal="center" vertical="center" wrapText="1"/>
    </xf>
    <xf numFmtId="49" fontId="30" fillId="2" borderId="1" xfId="39" applyNumberFormat="1" applyFont="1" applyFill="1" applyBorder="1" applyAlignment="1">
      <alignment horizontal="center" vertical="center"/>
    </xf>
    <xf numFmtId="0" fontId="0" fillId="0" borderId="1" xfId="0" quotePrefix="1" applyNumberFormat="1" applyBorder="1" applyAlignment="1">
      <alignment vertical="center"/>
    </xf>
    <xf numFmtId="0" fontId="36" fillId="0" borderId="1" xfId="0" applyNumberFormat="1" applyFont="1" applyBorder="1" applyAlignment="1">
      <alignment vertical="center"/>
    </xf>
    <xf numFmtId="0" fontId="0" fillId="0" borderId="1" xfId="0" quotePrefix="1" applyNumberFormat="1" applyBorder="1" applyAlignment="1">
      <alignment horizontal="center" vertical="center"/>
    </xf>
    <xf numFmtId="49" fontId="45" fillId="2" borderId="1" xfId="39" applyNumberFormat="1" applyFont="1" applyFill="1" applyBorder="1" applyAlignment="1">
      <alignment horizontal="center" vertical="center"/>
    </xf>
    <xf numFmtId="14" fontId="45" fillId="0" borderId="1" xfId="0" applyNumberFormat="1" applyFont="1" applyFill="1" applyBorder="1" applyAlignment="1">
      <alignment horizontal="center" vertical="center"/>
    </xf>
    <xf numFmtId="14" fontId="45" fillId="0" borderId="6" xfId="0" applyNumberFormat="1" applyFont="1" applyFill="1" applyBorder="1" applyAlignment="1">
      <alignment horizontal="center" vertical="center"/>
    </xf>
    <xf numFmtId="0" fontId="45" fillId="0" borderId="1" xfId="0" applyFont="1" applyBorder="1" applyAlignment="1">
      <alignment horizontal="center" vertical="center"/>
    </xf>
    <xf numFmtId="0" fontId="45" fillId="0" borderId="1" xfId="0" applyNumberFormat="1" applyFont="1" applyBorder="1" applyAlignment="1">
      <alignment vertical="center"/>
    </xf>
    <xf numFmtId="0" fontId="45" fillId="0" borderId="1" xfId="0" applyNumberFormat="1" applyFont="1" applyBorder="1" applyAlignment="1">
      <alignment horizontal="left" vertical="center"/>
    </xf>
    <xf numFmtId="0" fontId="45" fillId="0" borderId="1" xfId="0" applyNumberFormat="1" applyFont="1" applyBorder="1"/>
    <xf numFmtId="0" fontId="0" fillId="0" borderId="1" xfId="0" applyBorder="1" applyAlignment="1">
      <alignment horizontal="center"/>
    </xf>
    <xf numFmtId="0" fontId="0" fillId="0" borderId="1" xfId="0" applyNumberFormat="1" applyBorder="1"/>
    <xf numFmtId="0" fontId="0" fillId="0" borderId="1" xfId="0" applyNumberFormat="1" applyFont="1" applyBorder="1"/>
    <xf numFmtId="0" fontId="48" fillId="0" borderId="1" xfId="0" applyNumberFormat="1" applyFont="1" applyBorder="1" applyAlignment="1">
      <alignment horizontal="left" vertical="center"/>
    </xf>
    <xf numFmtId="0" fontId="61" fillId="0" borderId="1" xfId="0" applyNumberFormat="1" applyFont="1" applyBorder="1" applyAlignment="1">
      <alignment horizontal="left" vertical="center"/>
    </xf>
    <xf numFmtId="0" fontId="0" fillId="0" borderId="0" xfId="0" applyBorder="1"/>
    <xf numFmtId="14" fontId="0" fillId="0" borderId="0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2" fillId="0" borderId="0" xfId="0" applyFont="1"/>
    <xf numFmtId="0" fontId="0" fillId="0" borderId="0" xfId="0" applyFont="1"/>
    <xf numFmtId="0" fontId="0" fillId="0" borderId="1" xfId="0" applyFont="1" applyFill="1" applyBorder="1"/>
    <xf numFmtId="0" fontId="48" fillId="0" borderId="1" xfId="0" applyNumberFormat="1" applyFont="1" applyBorder="1" applyAlignment="1">
      <alignment vertical="center"/>
    </xf>
    <xf numFmtId="0" fontId="48" fillId="0" borderId="1" xfId="0" quotePrefix="1" applyNumberFormat="1" applyFont="1" applyBorder="1" applyAlignment="1">
      <alignment horizontal="left" vertical="center"/>
    </xf>
    <xf numFmtId="0" fontId="48" fillId="0" borderId="1" xfId="0" quotePrefix="1" applyNumberFormat="1" applyFont="1" applyBorder="1" applyAlignment="1">
      <alignment vertical="center"/>
    </xf>
    <xf numFmtId="0" fontId="62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49" fontId="48" fillId="0" borderId="1" xfId="0" applyNumberFormat="1" applyFont="1" applyFill="1" applyBorder="1" applyAlignment="1">
      <alignment horizontal="center" vertical="center"/>
    </xf>
    <xf numFmtId="0" fontId="60" fillId="0" borderId="0" xfId="47" quotePrefix="1" applyNumberFormat="1" applyFont="1" applyBorder="1" applyAlignment="1">
      <alignment vertical="center"/>
    </xf>
    <xf numFmtId="0" fontId="67" fillId="0" borderId="0" xfId="0" applyFont="1"/>
    <xf numFmtId="0" fontId="0" fillId="0" borderId="4" xfId="0" applyFill="1" applyBorder="1" applyAlignment="1">
      <alignment horizontal="center"/>
    </xf>
    <xf numFmtId="167" fontId="29" fillId="0" borderId="1" xfId="1" applyNumberFormat="1" applyFont="1" applyFill="1" applyBorder="1" applyAlignment="1">
      <alignment horizontal="center" vertical="center" wrapText="1"/>
    </xf>
    <xf numFmtId="167" fontId="0" fillId="0" borderId="0" xfId="0" applyNumberFormat="1"/>
    <xf numFmtId="0" fontId="48" fillId="0" borderId="1" xfId="0" quotePrefix="1" applyNumberFormat="1" applyFont="1" applyFill="1" applyBorder="1" applyAlignment="1">
      <alignment horizontal="left" vertical="center"/>
    </xf>
    <xf numFmtId="49" fontId="58" fillId="0" borderId="1" xfId="42" applyNumberFormat="1" applyFont="1" applyBorder="1" applyAlignment="1">
      <alignment horizontal="left" vertical="center"/>
    </xf>
    <xf numFmtId="49" fontId="58" fillId="0" borderId="6" xfId="42" applyNumberFormat="1" applyFont="1" applyBorder="1" applyAlignment="1">
      <alignment horizontal="left" vertical="center"/>
    </xf>
    <xf numFmtId="0" fontId="58" fillId="0" borderId="6" xfId="42" applyNumberFormat="1" applyFont="1" applyBorder="1" applyAlignment="1">
      <alignment horizontal="left"/>
    </xf>
    <xf numFmtId="0" fontId="68" fillId="11" borderId="1" xfId="0" applyFont="1" applyFill="1" applyBorder="1" applyAlignment="1">
      <alignment horizontal="left" vertical="center"/>
    </xf>
    <xf numFmtId="0" fontId="58" fillId="11" borderId="7" xfId="0" applyFont="1" applyFill="1" applyBorder="1" applyAlignment="1">
      <alignment horizontal="left" vertical="center"/>
    </xf>
    <xf numFmtId="0" fontId="61" fillId="0" borderId="1" xfId="44" applyNumberFormat="1" applyFont="1" applyBorder="1" applyAlignment="1">
      <alignment horizontal="left" vertical="center"/>
    </xf>
    <xf numFmtId="0" fontId="48" fillId="0" borderId="1" xfId="44" applyNumberFormat="1" applyFont="1" applyBorder="1" applyAlignment="1">
      <alignment horizontal="left" vertical="center"/>
    </xf>
    <xf numFmtId="0" fontId="48" fillId="0" borderId="1" xfId="0" quotePrefix="1" applyNumberFormat="1" applyFont="1" applyBorder="1" applyAlignment="1">
      <alignment horizontal="center" vertical="center"/>
    </xf>
    <xf numFmtId="0" fontId="48" fillId="0" borderId="1" xfId="0" applyFont="1" applyBorder="1" applyAlignment="1">
      <alignment horizontal="center"/>
    </xf>
    <xf numFmtId="49" fontId="48" fillId="0" borderId="1" xfId="0" applyNumberFormat="1" applyFont="1" applyFill="1" applyBorder="1" applyAlignment="1">
      <alignment horizontal="left" vertical="center"/>
    </xf>
    <xf numFmtId="0" fontId="61" fillId="0" borderId="1" xfId="0" applyNumberFormat="1" applyFont="1" applyBorder="1" applyAlignment="1">
      <alignment vertical="center"/>
    </xf>
    <xf numFmtId="0" fontId="48" fillId="0" borderId="1" xfId="0" applyNumberFormat="1" applyFont="1" applyFill="1" applyBorder="1" applyAlignment="1">
      <alignment horizontal="center" vertical="center"/>
    </xf>
    <xf numFmtId="0" fontId="70" fillId="0" borderId="1" xfId="0" applyFont="1" applyFill="1" applyBorder="1" applyAlignment="1">
      <alignment horizontal="center" vertical="center"/>
    </xf>
    <xf numFmtId="0" fontId="70" fillId="0" borderId="1" xfId="0" applyFont="1" applyBorder="1" applyAlignment="1">
      <alignment horizontal="center"/>
    </xf>
    <xf numFmtId="0" fontId="70" fillId="0" borderId="1" xfId="0" applyFont="1" applyBorder="1"/>
    <xf numFmtId="167" fontId="70" fillId="0" borderId="1" xfId="0" applyNumberFormat="1" applyFont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Fill="1"/>
    <xf numFmtId="0" fontId="30" fillId="0" borderId="0" xfId="0" applyFont="1" applyAlignment="1">
      <alignment horizontal="center" vertical="center"/>
    </xf>
    <xf numFmtId="0" fontId="0" fillId="0" borderId="0" xfId="0" applyFill="1" applyAlignment="1">
      <alignment horizontal="left"/>
    </xf>
    <xf numFmtId="0" fontId="70" fillId="12" borderId="1" xfId="0" quotePrefix="1" applyFont="1" applyFill="1" applyBorder="1"/>
    <xf numFmtId="0" fontId="70" fillId="0" borderId="1" xfId="0" applyFont="1" applyBorder="1" applyAlignment="1">
      <alignment horizontal="left"/>
    </xf>
    <xf numFmtId="0" fontId="30" fillId="0" borderId="0" xfId="0" applyFont="1" applyFill="1" applyAlignment="1">
      <alignment horizontal="center" vertical="center"/>
    </xf>
    <xf numFmtId="0" fontId="0" fillId="12" borderId="0" xfId="0" applyFill="1"/>
    <xf numFmtId="0" fontId="70" fillId="0" borderId="9" xfId="0" applyFont="1" applyFill="1" applyBorder="1" applyAlignment="1">
      <alignment horizontal="center"/>
    </xf>
    <xf numFmtId="0" fontId="70" fillId="0" borderId="9" xfId="0" applyFont="1" applyFill="1" applyBorder="1"/>
    <xf numFmtId="0" fontId="70" fillId="0" borderId="9" xfId="0" applyFont="1" applyFill="1" applyBorder="1" applyAlignment="1">
      <alignment horizontal="left"/>
    </xf>
    <xf numFmtId="167" fontId="70" fillId="0" borderId="9" xfId="0" applyNumberFormat="1" applyFont="1" applyFill="1" applyBorder="1" applyAlignment="1">
      <alignment horizontal="center"/>
    </xf>
    <xf numFmtId="0" fontId="70" fillId="0" borderId="9" xfId="0" applyFont="1" applyFill="1" applyBorder="1" applyAlignment="1">
      <alignment horizontal="center" vertical="center"/>
    </xf>
    <xf numFmtId="0" fontId="0" fillId="0" borderId="0" xfId="0" applyFill="1" applyBorder="1"/>
    <xf numFmtId="0" fontId="53" fillId="0" borderId="4" xfId="26" applyFill="1" applyBorder="1"/>
    <xf numFmtId="49" fontId="0" fillId="0" borderId="1" xfId="0" applyNumberFormat="1" applyFill="1" applyBorder="1" applyAlignment="1">
      <alignment horizontal="center"/>
    </xf>
    <xf numFmtId="0" fontId="61" fillId="0" borderId="1" xfId="0" applyNumberFormat="1" applyFont="1" applyFill="1" applyBorder="1" applyAlignment="1">
      <alignment horizontal="center" vertical="center"/>
    </xf>
    <xf numFmtId="49" fontId="61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/>
    </xf>
    <xf numFmtId="0" fontId="55" fillId="0" borderId="1" xfId="42" applyNumberFormat="1" applyFont="1" applyFill="1" applyBorder="1" applyAlignment="1">
      <alignment horizontal="left" vertical="center"/>
    </xf>
    <xf numFmtId="0" fontId="55" fillId="0" borderId="1" xfId="0" quotePrefix="1" applyNumberFormat="1" applyFont="1" applyFill="1" applyBorder="1" applyAlignment="1">
      <alignment horizontal="left" vertical="center"/>
    </xf>
    <xf numFmtId="0" fontId="60" fillId="0" borderId="1" xfId="0" quotePrefix="1" applyNumberFormat="1" applyFont="1" applyFill="1" applyBorder="1" applyAlignment="1">
      <alignment horizontal="left" vertical="center"/>
    </xf>
    <xf numFmtId="14" fontId="0" fillId="0" borderId="1" xfId="0" applyNumberFormat="1" applyFill="1" applyBorder="1" applyAlignment="1">
      <alignment horizontal="left"/>
    </xf>
    <xf numFmtId="0" fontId="74" fillId="0" borderId="0" xfId="0" applyFont="1"/>
    <xf numFmtId="0" fontId="76" fillId="0" borderId="0" xfId="0" applyFont="1"/>
    <xf numFmtId="0" fontId="29" fillId="0" borderId="3" xfId="1" applyFont="1" applyFill="1" applyBorder="1" applyAlignment="1">
      <alignment horizontal="center" vertical="center" wrapText="1"/>
    </xf>
    <xf numFmtId="0" fontId="48" fillId="2" borderId="1" xfId="211" applyFont="1" applyFill="1" applyBorder="1" applyAlignment="1">
      <alignment horizontal="center" vertical="center" wrapText="1"/>
    </xf>
    <xf numFmtId="49" fontId="83" fillId="2" borderId="1" xfId="0" applyNumberFormat="1" applyFont="1" applyFill="1" applyBorder="1" applyAlignment="1">
      <alignment horizontal="center" vertical="center"/>
    </xf>
    <xf numFmtId="0" fontId="84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left" vertical="center"/>
    </xf>
    <xf numFmtId="49" fontId="83" fillId="2" borderId="10" xfId="0" applyNumberFormat="1" applyFont="1" applyFill="1" applyBorder="1" applyAlignment="1">
      <alignment horizontal="center" vertical="center"/>
    </xf>
    <xf numFmtId="0" fontId="48" fillId="2" borderId="1" xfId="0" applyFont="1" applyFill="1" applyBorder="1" applyAlignment="1">
      <alignment horizontal="center" vertical="center"/>
    </xf>
    <xf numFmtId="0" fontId="48" fillId="2" borderId="1" xfId="0" applyFont="1" applyFill="1" applyBorder="1" applyAlignment="1">
      <alignment horizontal="left" vertical="center"/>
    </xf>
    <xf numFmtId="0" fontId="0" fillId="0" borderId="0" xfId="0"/>
    <xf numFmtId="0" fontId="84" fillId="2" borderId="1" xfId="0" applyFont="1" applyFill="1" applyBorder="1" applyAlignment="1">
      <alignment horizontal="center" vertical="center"/>
    </xf>
    <xf numFmtId="0" fontId="0" fillId="0" borderId="12" xfId="0" applyBorder="1"/>
    <xf numFmtId="49" fontId="83" fillId="2" borderId="11" xfId="0" applyNumberFormat="1" applyFont="1" applyFill="1" applyBorder="1" applyAlignment="1">
      <alignment horizontal="center" vertical="center"/>
    </xf>
    <xf numFmtId="0" fontId="0" fillId="2" borderId="6" xfId="0" applyFont="1" applyFill="1" applyBorder="1" applyAlignment="1">
      <alignment horizontal="left" vertical="center"/>
    </xf>
    <xf numFmtId="0" fontId="48" fillId="2" borderId="1" xfId="0" quotePrefix="1" applyFont="1" applyFill="1" applyBorder="1" applyAlignment="1">
      <alignment vertical="center"/>
    </xf>
    <xf numFmtId="49" fontId="0" fillId="2" borderId="1" xfId="0" applyNumberFormat="1" applyFont="1" applyFill="1" applyBorder="1" applyAlignment="1">
      <alignment vertical="center"/>
    </xf>
    <xf numFmtId="49" fontId="0" fillId="2" borderId="6" xfId="0" quotePrefix="1" applyNumberFormat="1" applyFont="1" applyFill="1" applyBorder="1" applyAlignment="1">
      <alignment vertical="center"/>
    </xf>
    <xf numFmtId="49" fontId="58" fillId="2" borderId="6" xfId="212" applyNumberFormat="1" applyFont="1" applyFill="1" applyBorder="1" applyAlignment="1">
      <alignment vertical="center"/>
    </xf>
    <xf numFmtId="49" fontId="0" fillId="2" borderId="1" xfId="0" quotePrefix="1" applyNumberFormat="1" applyFont="1" applyFill="1" applyBorder="1" applyAlignment="1">
      <alignment vertical="center"/>
    </xf>
    <xf numFmtId="49" fontId="58" fillId="2" borderId="1" xfId="212" applyNumberFormat="1" applyFont="1" applyFill="1" applyBorder="1" applyAlignment="1">
      <alignment vertical="center"/>
    </xf>
    <xf numFmtId="49" fontId="58" fillId="2" borderId="6" xfId="212" applyNumberFormat="1" applyFont="1" applyFill="1" applyBorder="1" applyAlignment="1"/>
    <xf numFmtId="0" fontId="0" fillId="0" borderId="0" xfId="0" applyBorder="1" applyAlignment="1">
      <alignment horizontal="center"/>
    </xf>
    <xf numFmtId="49" fontId="83" fillId="2" borderId="7" xfId="0" applyNumberFormat="1" applyFont="1" applyFill="1" applyBorder="1" applyAlignment="1">
      <alignment horizontal="center" vertical="center" readingOrder="1"/>
    </xf>
    <xf numFmtId="0" fontId="85" fillId="0" borderId="13" xfId="0" applyFont="1" applyBorder="1" applyAlignment="1">
      <alignment horizontal="center" vertical="center"/>
    </xf>
    <xf numFmtId="0" fontId="85" fillId="0" borderId="1" xfId="0" applyFont="1" applyBorder="1" applyAlignment="1">
      <alignment horizontal="center" vertical="center"/>
    </xf>
    <xf numFmtId="0" fontId="85" fillId="0" borderId="14" xfId="0" applyFont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15" borderId="0" xfId="0" applyFill="1" applyBorder="1"/>
    <xf numFmtId="0" fontId="86" fillId="0" borderId="0" xfId="0" applyFont="1" applyBorder="1" applyAlignment="1">
      <alignment horizontal="left"/>
    </xf>
    <xf numFmtId="0" fontId="84" fillId="16" borderId="1" xfId="0" applyFont="1" applyFill="1" applyBorder="1" applyAlignment="1">
      <alignment horizontal="center" vertical="center"/>
    </xf>
    <xf numFmtId="49" fontId="0" fillId="16" borderId="1" xfId="0" quotePrefix="1" applyNumberFormat="1" applyFont="1" applyFill="1" applyBorder="1" applyAlignment="1">
      <alignment vertical="center"/>
    </xf>
    <xf numFmtId="49" fontId="58" fillId="16" borderId="1" xfId="212" applyNumberFormat="1" applyFont="1" applyFill="1" applyBorder="1" applyAlignment="1">
      <alignment vertical="center"/>
    </xf>
    <xf numFmtId="0" fontId="0" fillId="16" borderId="1" xfId="0" applyFont="1" applyFill="1" applyBorder="1" applyAlignment="1">
      <alignment horizontal="left" vertical="center"/>
    </xf>
    <xf numFmtId="0" fontId="48" fillId="16" borderId="1" xfId="211" applyFont="1" applyFill="1" applyBorder="1" applyAlignment="1">
      <alignment horizontal="center" vertical="center" wrapText="1"/>
    </xf>
    <xf numFmtId="0" fontId="85" fillId="16" borderId="1" xfId="0" applyFont="1" applyFill="1" applyBorder="1" applyAlignment="1">
      <alignment horizontal="center" vertical="center"/>
    </xf>
    <xf numFmtId="0" fontId="84" fillId="17" borderId="1" xfId="0" applyFont="1" applyFill="1" applyBorder="1" applyAlignment="1">
      <alignment horizontal="center" vertical="center"/>
    </xf>
    <xf numFmtId="49" fontId="0" fillId="17" borderId="1" xfId="0" quotePrefix="1" applyNumberFormat="1" applyFont="1" applyFill="1" applyBorder="1" applyAlignment="1">
      <alignment vertical="center"/>
    </xf>
    <xf numFmtId="49" fontId="58" fillId="17" borderId="1" xfId="212" applyNumberFormat="1" applyFont="1" applyFill="1" applyBorder="1" applyAlignment="1">
      <alignment vertical="center"/>
    </xf>
    <xf numFmtId="0" fontId="0" fillId="17" borderId="1" xfId="0" applyFont="1" applyFill="1" applyBorder="1" applyAlignment="1">
      <alignment horizontal="left" vertical="center"/>
    </xf>
    <xf numFmtId="0" fontId="48" fillId="17" borderId="1" xfId="211" applyFont="1" applyFill="1" applyBorder="1" applyAlignment="1">
      <alignment horizontal="center" vertical="center" wrapText="1"/>
    </xf>
    <xf numFmtId="0" fontId="85" fillId="17" borderId="1" xfId="0" applyFont="1" applyFill="1" applyBorder="1" applyAlignment="1">
      <alignment horizontal="center" vertical="center"/>
    </xf>
    <xf numFmtId="0" fontId="84" fillId="18" borderId="1" xfId="0" applyFont="1" applyFill="1" applyBorder="1" applyAlignment="1">
      <alignment horizontal="center" vertical="center"/>
    </xf>
    <xf numFmtId="49" fontId="0" fillId="18" borderId="1" xfId="0" quotePrefix="1" applyNumberFormat="1" applyFont="1" applyFill="1" applyBorder="1" applyAlignment="1">
      <alignment vertical="center"/>
    </xf>
    <xf numFmtId="49" fontId="58" fillId="18" borderId="1" xfId="212" applyNumberFormat="1" applyFont="1" applyFill="1" applyBorder="1" applyAlignment="1">
      <alignment vertical="center"/>
    </xf>
    <xf numFmtId="0" fontId="0" fillId="18" borderId="1" xfId="0" applyFont="1" applyFill="1" applyBorder="1" applyAlignment="1">
      <alignment horizontal="left" vertical="center"/>
    </xf>
    <xf numFmtId="0" fontId="48" fillId="18" borderId="1" xfId="211" applyFont="1" applyFill="1" applyBorder="1" applyAlignment="1">
      <alignment horizontal="center" vertical="center" wrapText="1"/>
    </xf>
    <xf numFmtId="0" fontId="85" fillId="18" borderId="1" xfId="0" applyFont="1" applyFill="1" applyBorder="1" applyAlignment="1">
      <alignment horizontal="center" vertical="center"/>
    </xf>
    <xf numFmtId="0" fontId="83" fillId="19" borderId="1" xfId="218" applyFont="1" applyFill="1" applyBorder="1" applyAlignment="1">
      <alignment horizontal="center" vertical="center"/>
    </xf>
    <xf numFmtId="0" fontId="87" fillId="19" borderId="1" xfId="0" applyFont="1" applyFill="1" applyBorder="1" applyAlignment="1">
      <alignment horizontal="center" vertical="center"/>
    </xf>
    <xf numFmtId="49" fontId="0" fillId="19" borderId="1" xfId="0" quotePrefix="1" applyNumberFormat="1" applyFont="1" applyFill="1" applyBorder="1" applyAlignment="1">
      <alignment horizontal="left"/>
    </xf>
    <xf numFmtId="0" fontId="48" fillId="19" borderId="1" xfId="98" applyNumberFormat="1" applyFont="1" applyFill="1" applyBorder="1" applyAlignment="1">
      <alignment horizontal="center" vertical="center" wrapText="1"/>
    </xf>
    <xf numFmtId="0" fontId="83" fillId="19" borderId="1" xfId="3" applyFont="1" applyFill="1" applyBorder="1" applyAlignment="1">
      <alignment horizontal="center" vertical="center"/>
    </xf>
    <xf numFmtId="49" fontId="0" fillId="19" borderId="1" xfId="0" applyNumberFormat="1" applyFont="1" applyFill="1" applyBorder="1" applyAlignment="1">
      <alignment horizontal="left"/>
    </xf>
    <xf numFmtId="0" fontId="83" fillId="19" borderId="1" xfId="199" applyFont="1" applyFill="1" applyBorder="1" applyAlignment="1">
      <alignment horizontal="center" vertical="center"/>
    </xf>
    <xf numFmtId="0" fontId="83" fillId="19" borderId="1" xfId="218" applyFont="1" applyFill="1" applyBorder="1" applyAlignment="1">
      <alignment horizontal="left" vertical="center"/>
    </xf>
    <xf numFmtId="0" fontId="0" fillId="19" borderId="1" xfId="0" applyFill="1" applyBorder="1" applyAlignment="1">
      <alignment horizontal="left"/>
    </xf>
    <xf numFmtId="49" fontId="58" fillId="19" borderId="6" xfId="99" applyNumberFormat="1" applyFont="1" applyFill="1" applyBorder="1" applyAlignment="1">
      <alignment horizontal="left" vertical="center"/>
    </xf>
    <xf numFmtId="0" fontId="0" fillId="19" borderId="1" xfId="0" applyFont="1" applyFill="1" applyBorder="1" applyAlignment="1">
      <alignment horizontal="left"/>
    </xf>
    <xf numFmtId="0" fontId="83" fillId="19" borderId="1" xfId="3" applyFont="1" applyFill="1" applyBorder="1" applyAlignment="1">
      <alignment horizontal="left" vertical="center"/>
    </xf>
    <xf numFmtId="0" fontId="83" fillId="19" borderId="1" xfId="3" quotePrefix="1" applyFont="1" applyFill="1" applyBorder="1" applyAlignment="1">
      <alignment horizontal="left" vertical="center"/>
    </xf>
    <xf numFmtId="49" fontId="58" fillId="19" borderId="1" xfId="99" applyNumberFormat="1" applyFont="1" applyFill="1" applyBorder="1" applyAlignment="1">
      <alignment horizontal="left" vertical="center"/>
    </xf>
    <xf numFmtId="0" fontId="83" fillId="19" borderId="1" xfId="199" applyFont="1" applyFill="1" applyBorder="1" applyAlignment="1">
      <alignment horizontal="left" vertical="center"/>
    </xf>
    <xf numFmtId="0" fontId="83" fillId="19" borderId="1" xfId="199" quotePrefix="1" applyFont="1" applyFill="1" applyBorder="1" applyAlignment="1">
      <alignment horizontal="left" vertical="center"/>
    </xf>
    <xf numFmtId="0" fontId="48" fillId="19" borderId="1" xfId="1" applyNumberFormat="1" applyFont="1" applyFill="1" applyBorder="1" applyAlignment="1">
      <alignment horizontal="center" vertical="center" wrapText="1"/>
    </xf>
    <xf numFmtId="49" fontId="58" fillId="19" borderId="6" xfId="42" applyNumberFormat="1" applyFont="1" applyFill="1" applyBorder="1" applyAlignment="1">
      <alignment horizontal="left" vertical="center"/>
    </xf>
    <xf numFmtId="0" fontId="48" fillId="19" borderId="1" xfId="1" applyFont="1" applyFill="1" applyBorder="1" applyAlignment="1">
      <alignment horizontal="center" vertical="center" wrapText="1"/>
    </xf>
    <xf numFmtId="0" fontId="89" fillId="0" borderId="0" xfId="0" applyFont="1"/>
    <xf numFmtId="0" fontId="90" fillId="0" borderId="0" xfId="0" applyFont="1"/>
    <xf numFmtId="0" fontId="87" fillId="0" borderId="1" xfId="0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left"/>
    </xf>
    <xf numFmtId="49" fontId="58" fillId="0" borderId="1" xfId="42" applyNumberFormat="1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/>
    </xf>
    <xf numFmtId="0" fontId="0" fillId="0" borderId="1" xfId="0" applyFont="1" applyFill="1" applyBorder="1" applyAlignment="1">
      <alignment horizontal="center"/>
    </xf>
    <xf numFmtId="0" fontId="88" fillId="0" borderId="1" xfId="1" applyNumberFormat="1" applyFont="1" applyFill="1" applyBorder="1" applyAlignment="1">
      <alignment horizontal="center" vertical="center" wrapText="1"/>
    </xf>
    <xf numFmtId="0" fontId="85" fillId="0" borderId="1" xfId="0" applyFont="1" applyFill="1" applyBorder="1" applyAlignment="1">
      <alignment horizontal="center" vertical="center"/>
    </xf>
    <xf numFmtId="49" fontId="58" fillId="0" borderId="6" xfId="42" applyNumberFormat="1" applyFont="1" applyFill="1" applyBorder="1" applyAlignment="1">
      <alignment horizontal="left" vertical="center"/>
    </xf>
    <xf numFmtId="0" fontId="0" fillId="5" borderId="0" xfId="0" applyFill="1" applyBorder="1"/>
    <xf numFmtId="0" fontId="57" fillId="0" borderId="15" xfId="0" applyFont="1" applyBorder="1" applyAlignment="1">
      <alignment horizontal="center" vertical="center"/>
    </xf>
    <xf numFmtId="0" fontId="57" fillId="0" borderId="15" xfId="0" applyFont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57" fillId="0" borderId="15" xfId="0" quotePrefix="1" applyFont="1" applyBorder="1" applyAlignment="1">
      <alignment horizontal="left" vertical="center"/>
    </xf>
    <xf numFmtId="49" fontId="57" fillId="0" borderId="15" xfId="0" applyNumberFormat="1" applyFont="1" applyBorder="1" applyAlignment="1">
      <alignment horizontal="left" vertical="center"/>
    </xf>
    <xf numFmtId="0" fontId="57" fillId="0" borderId="15" xfId="0" applyFont="1" applyBorder="1" applyAlignment="1">
      <alignment horizontal="left" vertical="center"/>
    </xf>
    <xf numFmtId="0" fontId="57" fillId="0" borderId="0" xfId="0" applyFont="1" applyAlignment="1">
      <alignment horizontal="left" vertical="center"/>
    </xf>
    <xf numFmtId="49" fontId="57" fillId="0" borderId="0" xfId="0" applyNumberFormat="1" applyFont="1" applyAlignment="1">
      <alignment horizontal="left" vertical="center"/>
    </xf>
    <xf numFmtId="0" fontId="48" fillId="0" borderId="1" xfId="0" applyFont="1" applyBorder="1" applyAlignment="1">
      <alignment horizontal="left" vertical="center"/>
    </xf>
    <xf numFmtId="0" fontId="48" fillId="0" borderId="1" xfId="2" applyFont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48" fillId="0" borderId="0" xfId="0" applyFont="1" applyBorder="1" applyAlignment="1">
      <alignment horizontal="left" vertical="center"/>
    </xf>
    <xf numFmtId="0" fontId="48" fillId="0" borderId="0" xfId="2" applyFont="1" applyBorder="1" applyAlignment="1">
      <alignment horizontal="left" vertical="center"/>
    </xf>
    <xf numFmtId="0" fontId="57" fillId="0" borderId="0" xfId="0" applyFont="1" applyBorder="1" applyAlignment="1">
      <alignment horizontal="center" vertical="center" wrapText="1"/>
    </xf>
    <xf numFmtId="0" fontId="0" fillId="2" borderId="0" xfId="0" applyFill="1" applyBorder="1"/>
    <xf numFmtId="0" fontId="96" fillId="0" borderId="0" xfId="0" applyFont="1" applyAlignment="1">
      <alignment horizontal="left"/>
    </xf>
    <xf numFmtId="0" fontId="0" fillId="6" borderId="0" xfId="0" applyFill="1" applyBorder="1"/>
    <xf numFmtId="0" fontId="0" fillId="2" borderId="6" xfId="0" applyFill="1" applyBorder="1" applyAlignment="1">
      <alignment horizontal="center"/>
    </xf>
    <xf numFmtId="0" fontId="0" fillId="0" borderId="8" xfId="0" applyBorder="1"/>
    <xf numFmtId="49" fontId="0" fillId="0" borderId="8" xfId="0" applyNumberFormat="1" applyBorder="1"/>
    <xf numFmtId="0" fontId="0" fillId="2" borderId="17" xfId="0" applyFill="1" applyBorder="1" applyAlignment="1">
      <alignment horizontal="center"/>
    </xf>
    <xf numFmtId="0" fontId="0" fillId="0" borderId="5" xfId="0" applyBorder="1"/>
    <xf numFmtId="49" fontId="0" fillId="0" borderId="5" xfId="0" applyNumberFormat="1" applyBorder="1"/>
    <xf numFmtId="0" fontId="0" fillId="0" borderId="18" xfId="0" applyBorder="1"/>
    <xf numFmtId="0" fontId="0" fillId="0" borderId="6" xfId="0" applyBorder="1" applyAlignment="1">
      <alignment horizontal="left"/>
    </xf>
    <xf numFmtId="0" fontId="101" fillId="0" borderId="0" xfId="0" applyFont="1"/>
    <xf numFmtId="167" fontId="0" fillId="0" borderId="0" xfId="0" applyNumberFormat="1"/>
    <xf numFmtId="0" fontId="0" fillId="20" borderId="0" xfId="0" applyFill="1" applyBorder="1"/>
    <xf numFmtId="167" fontId="0" fillId="18" borderId="0" xfId="0" applyNumberFormat="1" applyFill="1"/>
    <xf numFmtId="49" fontId="100" fillId="2" borderId="6" xfId="336" applyNumberFormat="1" applyFont="1" applyFill="1" applyBorder="1"/>
    <xf numFmtId="49" fontId="100" fillId="0" borderId="6" xfId="336" applyNumberFormat="1" applyFont="1" applyBorder="1"/>
    <xf numFmtId="49" fontId="100" fillId="2" borderId="6" xfId="313" applyNumberFormat="1" applyFont="1" applyFill="1" applyBorder="1"/>
    <xf numFmtId="0" fontId="100" fillId="2" borderId="6" xfId="336" applyFont="1" applyFill="1" applyBorder="1" applyAlignment="1">
      <alignment horizontal="left"/>
    </xf>
    <xf numFmtId="49" fontId="100" fillId="0" borderId="6" xfId="336" applyNumberFormat="1" applyFont="1" applyBorder="1" applyAlignment="1">
      <alignment horizontal="left" vertical="center"/>
    </xf>
    <xf numFmtId="49" fontId="100" fillId="0" borderId="6" xfId="339" applyNumberFormat="1" applyFont="1" applyBorder="1" applyAlignment="1">
      <alignment horizontal="left" vertical="center"/>
    </xf>
    <xf numFmtId="49" fontId="100" fillId="0" borderId="6" xfId="42" applyNumberFormat="1" applyFont="1" applyBorder="1" applyAlignment="1">
      <alignment horizontal="center" vertical="center"/>
    </xf>
    <xf numFmtId="0" fontId="63" fillId="0" borderId="4" xfId="0" applyFont="1" applyBorder="1" applyAlignment="1">
      <alignment horizontal="left" vertical="center"/>
    </xf>
    <xf numFmtId="0" fontId="63" fillId="12" borderId="0" xfId="0" applyFont="1" applyFill="1" applyAlignment="1">
      <alignment horizontal="left" vertical="center"/>
    </xf>
    <xf numFmtId="0" fontId="88" fillId="0" borderId="0" xfId="224" applyFont="1" applyAlignment="1">
      <alignment horizontal="left" vertical="center"/>
    </xf>
    <xf numFmtId="49" fontId="88" fillId="0" borderId="0" xfId="224" applyNumberFormat="1" applyFont="1" applyAlignment="1">
      <alignment horizontal="left" vertical="center"/>
    </xf>
    <xf numFmtId="0" fontId="103" fillId="0" borderId="0" xfId="225" applyFont="1" applyAlignment="1">
      <alignment horizontal="left" vertical="center"/>
    </xf>
    <xf numFmtId="0" fontId="2" fillId="0" borderId="1" xfId="7" applyNumberFormat="1" applyFont="1" applyFill="1" applyBorder="1" applyAlignment="1">
      <alignment horizontal="left" vertical="center"/>
    </xf>
    <xf numFmtId="0" fontId="2" fillId="0" borderId="1" xfId="7" quotePrefix="1" applyNumberFormat="1" applyFont="1" applyFill="1" applyBorder="1" applyAlignment="1">
      <alignment horizontal="left" vertical="center"/>
    </xf>
    <xf numFmtId="0" fontId="2" fillId="0" borderId="1" xfId="18" applyNumberFormat="1" applyFont="1" applyFill="1" applyBorder="1" applyAlignment="1">
      <alignment horizontal="left" vertical="center"/>
    </xf>
    <xf numFmtId="0" fontId="2" fillId="0" borderId="1" xfId="18" quotePrefix="1" applyNumberFormat="1" applyFont="1" applyFill="1" applyBorder="1" applyAlignment="1">
      <alignment horizontal="left" vertical="center"/>
    </xf>
    <xf numFmtId="49" fontId="2" fillId="0" borderId="1" xfId="20" applyNumberFormat="1" applyFont="1" applyFill="1" applyBorder="1" applyAlignment="1">
      <alignment horizontal="left" vertical="center"/>
    </xf>
    <xf numFmtId="0" fontId="2" fillId="0" borderId="1" xfId="17" applyNumberFormat="1" applyFont="1" applyBorder="1" applyAlignment="1">
      <alignment horizontal="left"/>
    </xf>
    <xf numFmtId="0" fontId="2" fillId="2" borderId="1" xfId="17" applyFont="1" applyFill="1" applyBorder="1" applyAlignment="1">
      <alignment horizontal="center"/>
    </xf>
    <xf numFmtId="49" fontId="2" fillId="2" borderId="1" xfId="1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42" applyNumberFormat="1" applyFont="1" applyBorder="1" applyAlignment="1">
      <alignment horizontal="left" vertical="center"/>
    </xf>
    <xf numFmtId="0" fontId="2" fillId="0" borderId="1" xfId="0" applyFont="1" applyFill="1" applyBorder="1" applyAlignment="1">
      <alignment horizontal="center"/>
    </xf>
    <xf numFmtId="0" fontId="2" fillId="0" borderId="1" xfId="0" applyNumberFormat="1" applyFont="1" applyBorder="1" applyAlignment="1">
      <alignment horizontal="left" vertical="center"/>
    </xf>
    <xf numFmtId="0" fontId="2" fillId="0" borderId="1" xfId="0" quotePrefix="1" applyNumberFormat="1" applyFont="1" applyBorder="1" applyAlignment="1">
      <alignment horizontal="left" vertical="center"/>
    </xf>
    <xf numFmtId="168" fontId="2" fillId="0" borderId="1" xfId="0" applyNumberFormat="1" applyFont="1" applyBorder="1" applyAlignment="1">
      <alignment horizontal="center" vertical="center"/>
    </xf>
    <xf numFmtId="0" fontId="2" fillId="0" borderId="1" xfId="0" applyFont="1" applyBorder="1"/>
    <xf numFmtId="0" fontId="2" fillId="10" borderId="1" xfId="0" applyFont="1" applyFill="1" applyBorder="1" applyAlignment="1">
      <alignment horizontal="left" vertical="center"/>
    </xf>
    <xf numFmtId="0" fontId="2" fillId="0" borderId="1" xfId="0" applyNumberFormat="1" applyFont="1" applyBorder="1"/>
    <xf numFmtId="0" fontId="2" fillId="0" borderId="1" xfId="0" applyNumberFormat="1" applyFont="1" applyBorder="1" applyAlignment="1">
      <alignment horizontal="left"/>
    </xf>
    <xf numFmtId="0" fontId="2" fillId="0" borderId="1" xfId="0" applyFont="1" applyFill="1" applyBorder="1"/>
    <xf numFmtId="0" fontId="2" fillId="0" borderId="1" xfId="6" applyNumberFormat="1" applyFont="1" applyBorder="1" applyAlignment="1">
      <alignment horizontal="left" vertical="center"/>
    </xf>
    <xf numFmtId="0" fontId="2" fillId="0" borderId="16" xfId="6" applyNumberFormat="1" applyFont="1" applyBorder="1" applyAlignment="1">
      <alignment horizontal="left" vertical="center"/>
    </xf>
    <xf numFmtId="0" fontId="2" fillId="0" borderId="1" xfId="6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vertical="center"/>
    </xf>
    <xf numFmtId="49" fontId="2" fillId="2" borderId="8" xfId="1" applyNumberFormat="1" applyFont="1" applyFill="1" applyBorder="1" applyAlignment="1">
      <alignment horizontal="center" vertical="center"/>
    </xf>
    <xf numFmtId="0" fontId="2" fillId="0" borderId="1" xfId="42" applyNumberFormat="1" applyFont="1" applyFill="1" applyBorder="1" applyAlignment="1">
      <alignment horizontal="center" vertical="center"/>
    </xf>
    <xf numFmtId="49" fontId="2" fillId="0" borderId="1" xfId="42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/>
    </xf>
    <xf numFmtId="49" fontId="2" fillId="2" borderId="0" xfId="1" applyNumberFormat="1" applyFont="1" applyFill="1" applyBorder="1" applyAlignment="1">
      <alignment horizontal="center" vertical="center"/>
    </xf>
    <xf numFmtId="49" fontId="2" fillId="2" borderId="5" xfId="1" applyNumberFormat="1" applyFont="1" applyFill="1" applyBorder="1" applyAlignment="1">
      <alignment horizontal="center" vertical="center"/>
    </xf>
    <xf numFmtId="49" fontId="2" fillId="12" borderId="1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 applyAlignment="1">
      <alignment horizontal="center" vertical="center"/>
    </xf>
    <xf numFmtId="49" fontId="2" fillId="13" borderId="1" xfId="1" applyNumberFormat="1" applyFont="1" applyFill="1" applyBorder="1" applyAlignment="1">
      <alignment horizontal="center" vertical="center"/>
    </xf>
    <xf numFmtId="0" fontId="2" fillId="2" borderId="6" xfId="212" applyFont="1" applyFill="1" applyBorder="1" applyAlignment="1">
      <alignment horizontal="center" vertical="center"/>
    </xf>
    <xf numFmtId="0" fontId="2" fillId="2" borderId="1" xfId="212" applyFont="1" applyFill="1" applyBorder="1" applyAlignment="1">
      <alignment horizontal="center" vertical="center"/>
    </xf>
    <xf numFmtId="0" fontId="85" fillId="0" borderId="16" xfId="0" applyFont="1" applyBorder="1" applyAlignment="1">
      <alignment horizontal="center" vertical="center"/>
    </xf>
    <xf numFmtId="0" fontId="2" fillId="17" borderId="1" xfId="212" applyFont="1" applyFill="1" applyBorder="1" applyAlignment="1">
      <alignment horizontal="center" vertical="center"/>
    </xf>
    <xf numFmtId="0" fontId="2" fillId="19" borderId="1" xfId="42" applyFont="1" applyFill="1" applyBorder="1" applyAlignment="1">
      <alignment horizontal="center" vertical="center"/>
    </xf>
    <xf numFmtId="49" fontId="2" fillId="19" borderId="1" xfId="26" applyNumberFormat="1" applyFont="1" applyFill="1" applyBorder="1" applyAlignment="1">
      <alignment horizontal="left"/>
    </xf>
    <xf numFmtId="0" fontId="2" fillId="19" borderId="1" xfId="99" applyNumberFormat="1" applyFont="1" applyFill="1" applyBorder="1" applyAlignment="1">
      <alignment horizontal="left" vertical="center"/>
    </xf>
    <xf numFmtId="0" fontId="2" fillId="18" borderId="1" xfId="212" applyFont="1" applyFill="1" applyBorder="1" applyAlignment="1">
      <alignment horizontal="center" vertical="center"/>
    </xf>
    <xf numFmtId="0" fontId="2" fillId="16" borderId="1" xfId="212" applyFont="1" applyFill="1" applyBorder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0" fontId="57" fillId="0" borderId="1" xfId="0" quotePrefix="1" applyFont="1" applyBorder="1" applyAlignment="1">
      <alignment horizontal="left" vertical="center"/>
    </xf>
    <xf numFmtId="49" fontId="57" fillId="0" borderId="1" xfId="0" applyNumberFormat="1" applyFont="1" applyBorder="1" applyAlignment="1">
      <alignment horizontal="left" vertical="center"/>
    </xf>
    <xf numFmtId="49" fontId="57" fillId="0" borderId="1" xfId="3" quotePrefix="1" applyNumberFormat="1" applyFont="1" applyFill="1" applyBorder="1" applyAlignment="1">
      <alignment horizontal="left" vertical="center"/>
    </xf>
    <xf numFmtId="0" fontId="57" fillId="0" borderId="1" xfId="0" applyFont="1" applyBorder="1" applyAlignment="1">
      <alignment horizontal="left" vertical="center"/>
    </xf>
    <xf numFmtId="0" fontId="93" fillId="0" borderId="1" xfId="0" applyFont="1" applyBorder="1" applyAlignment="1">
      <alignment horizontal="center" vertical="center"/>
    </xf>
    <xf numFmtId="49" fontId="57" fillId="0" borderId="1" xfId="3" applyNumberFormat="1" applyFont="1" applyFill="1" applyBorder="1" applyAlignment="1">
      <alignment horizontal="center" vertical="center"/>
    </xf>
    <xf numFmtId="49" fontId="57" fillId="0" borderId="1" xfId="3" applyNumberFormat="1" applyFont="1" applyFill="1" applyBorder="1" applyAlignment="1">
      <alignment horizontal="left" vertical="center"/>
    </xf>
    <xf numFmtId="0" fontId="27" fillId="0" borderId="1" xfId="3" applyNumberFormat="1" applyFill="1" applyBorder="1" applyAlignment="1">
      <alignment horizontal="left" vertical="center"/>
    </xf>
    <xf numFmtId="49" fontId="57" fillId="21" borderId="1" xfId="1" applyNumberFormat="1" applyFont="1" applyFill="1" applyBorder="1" applyAlignment="1" applyProtection="1">
      <alignment horizontal="center" vertical="center"/>
    </xf>
    <xf numFmtId="0" fontId="57" fillId="0" borderId="1" xfId="7" quotePrefix="1" applyFont="1" applyBorder="1" applyAlignment="1" applyProtection="1">
      <alignment horizontal="left" vertical="center"/>
    </xf>
    <xf numFmtId="49" fontId="57" fillId="0" borderId="19" xfId="0" applyNumberFormat="1" applyFont="1" applyBorder="1" applyAlignment="1">
      <alignment horizontal="center" vertical="center"/>
    </xf>
    <xf numFmtId="49" fontId="57" fillId="0" borderId="19" xfId="0" applyNumberFormat="1" applyFont="1" applyBorder="1" applyAlignment="1">
      <alignment horizontal="left" vertical="center"/>
    </xf>
    <xf numFmtId="0" fontId="57" fillId="0" borderId="19" xfId="0" applyFont="1" applyBorder="1" applyAlignment="1">
      <alignment horizontal="left" vertical="center"/>
    </xf>
    <xf numFmtId="49" fontId="57" fillId="0" borderId="20" xfId="0" quotePrefix="1" applyNumberFormat="1" applyFont="1" applyBorder="1" applyAlignment="1">
      <alignment horizontal="left" vertical="center"/>
    </xf>
    <xf numFmtId="0" fontId="2" fillId="0" borderId="20" xfId="0" applyFont="1" applyBorder="1" applyAlignment="1">
      <alignment horizontal="left" vertical="center"/>
    </xf>
    <xf numFmtId="49" fontId="57" fillId="0" borderId="20" xfId="0" applyNumberFormat="1" applyFont="1" applyBorder="1" applyAlignment="1">
      <alignment horizontal="center" vertical="center" wrapText="1"/>
    </xf>
    <xf numFmtId="49" fontId="57" fillId="0" borderId="20" xfId="7" quotePrefix="1" applyNumberFormat="1" applyFont="1" applyBorder="1" applyAlignment="1" applyProtection="1">
      <alignment horizontal="left" vertical="center"/>
    </xf>
    <xf numFmtId="0" fontId="2" fillId="0" borderId="20" xfId="0" applyNumberFormat="1" applyFont="1" applyBorder="1" applyAlignment="1">
      <alignment horizontal="left" vertical="center"/>
    </xf>
    <xf numFmtId="0" fontId="57" fillId="0" borderId="20" xfId="0" applyFont="1" applyBorder="1" applyAlignment="1">
      <alignment horizontal="center"/>
    </xf>
    <xf numFmtId="0" fontId="57" fillId="0" borderId="20" xfId="0" quotePrefix="1" applyFont="1" applyBorder="1" applyAlignment="1">
      <alignment horizontal="left"/>
    </xf>
    <xf numFmtId="0" fontId="57" fillId="0" borderId="20" xfId="0" applyFont="1" applyBorder="1" applyAlignment="1">
      <alignment horizontal="left"/>
    </xf>
    <xf numFmtId="49" fontId="95" fillId="21" borderId="20" xfId="1" applyNumberFormat="1" applyFont="1" applyFill="1" applyBorder="1" applyAlignment="1" applyProtection="1">
      <alignment horizontal="center" vertical="center"/>
    </xf>
    <xf numFmtId="0" fontId="95" fillId="0" borderId="20" xfId="0" applyFont="1" applyBorder="1" applyAlignment="1">
      <alignment horizontal="center" vertical="center"/>
    </xf>
    <xf numFmtId="0" fontId="57" fillId="2" borderId="20" xfId="0" applyFont="1" applyFill="1" applyBorder="1" applyAlignment="1">
      <alignment horizontal="center" vertical="center"/>
    </xf>
    <xf numFmtId="0" fontId="57" fillId="2" borderId="20" xfId="0" applyFont="1" applyFill="1" applyBorder="1" applyAlignment="1">
      <alignment horizontal="left" vertical="center"/>
    </xf>
    <xf numFmtId="0" fontId="2" fillId="2" borderId="20" xfId="212" applyFont="1" applyFill="1" applyBorder="1" applyAlignment="1">
      <alignment horizontal="center" vertical="center"/>
    </xf>
    <xf numFmtId="0" fontId="2" fillId="2" borderId="20" xfId="10" applyFont="1" applyFill="1" applyBorder="1" applyAlignment="1">
      <alignment horizontal="center" vertical="center"/>
    </xf>
    <xf numFmtId="0" fontId="2" fillId="2" borderId="20" xfId="212" applyFont="1" applyFill="1" applyBorder="1" applyAlignment="1">
      <alignment horizontal="left" vertical="center"/>
    </xf>
    <xf numFmtId="0" fontId="2" fillId="2" borderId="20" xfId="10" applyFont="1" applyFill="1" applyBorder="1" applyAlignment="1">
      <alignment horizontal="left" vertical="center"/>
    </xf>
    <xf numFmtId="0" fontId="0" fillId="0" borderId="20" xfId="0" applyBorder="1" applyAlignment="1">
      <alignment horizontal="center"/>
    </xf>
    <xf numFmtId="0" fontId="0" fillId="0" borderId="20" xfId="0" applyBorder="1"/>
    <xf numFmtId="0" fontId="0" fillId="0" borderId="20" xfId="0" applyBorder="1" applyAlignment="1">
      <alignment horizontal="left"/>
    </xf>
    <xf numFmtId="0" fontId="2" fillId="2" borderId="0" xfId="10" applyFont="1" applyFill="1" applyBorder="1" applyAlignment="1">
      <alignment horizontal="center" vertical="center"/>
    </xf>
    <xf numFmtId="0" fontId="2" fillId="22" borderId="20" xfId="10" applyFont="1" applyFill="1" applyBorder="1" applyAlignment="1">
      <alignment horizontal="center" vertical="center"/>
    </xf>
    <xf numFmtId="0" fontId="2" fillId="18" borderId="20" xfId="10" applyFont="1" applyFill="1" applyBorder="1" applyAlignment="1">
      <alignment horizontal="center" vertical="center"/>
    </xf>
    <xf numFmtId="0" fontId="0" fillId="0" borderId="21" xfId="0" applyBorder="1"/>
    <xf numFmtId="0" fontId="0" fillId="0" borderId="21" xfId="0" applyBorder="1" applyAlignment="1">
      <alignment horizontal="center"/>
    </xf>
    <xf numFmtId="0" fontId="63" fillId="0" borderId="20" xfId="0" applyFont="1" applyBorder="1" applyAlignment="1">
      <alignment horizontal="left" vertical="center"/>
    </xf>
    <xf numFmtId="0" fontId="63" fillId="0" borderId="20" xfId="336" applyFont="1" applyBorder="1" applyAlignment="1">
      <alignment horizontal="left" vertical="center"/>
    </xf>
    <xf numFmtId="49" fontId="63" fillId="0" borderId="20" xfId="0" quotePrefix="1" applyNumberFormat="1" applyFont="1" applyBorder="1" applyAlignment="1">
      <alignment horizontal="left"/>
    </xf>
    <xf numFmtId="49" fontId="100" fillId="0" borderId="20" xfId="336" applyNumberFormat="1" applyFont="1" applyBorder="1" applyAlignment="1">
      <alignment horizontal="left" vertical="center"/>
    </xf>
    <xf numFmtId="0" fontId="63" fillId="0" borderId="20" xfId="0" applyFont="1" applyBorder="1" applyAlignment="1">
      <alignment horizontal="left"/>
    </xf>
    <xf numFmtId="0" fontId="88" fillId="0" borderId="20" xfId="337" applyFont="1" applyFill="1" applyBorder="1" applyAlignment="1">
      <alignment horizontal="center" vertical="center" wrapText="1"/>
    </xf>
    <xf numFmtId="0" fontId="63" fillId="2" borderId="20" xfId="0" applyFont="1" applyFill="1" applyBorder="1"/>
    <xf numFmtId="0" fontId="63" fillId="2" borderId="20" xfId="336" applyFont="1" applyFill="1" applyBorder="1"/>
    <xf numFmtId="49" fontId="63" fillId="2" borderId="20" xfId="0" quotePrefix="1" applyNumberFormat="1" applyFont="1" applyFill="1" applyBorder="1"/>
    <xf numFmtId="0" fontId="88" fillId="0" borderId="20" xfId="337" applyFont="1" applyFill="1" applyBorder="1" applyAlignment="1">
      <alignment horizontal="center" wrapText="1"/>
    </xf>
    <xf numFmtId="49" fontId="100" fillId="2" borderId="20" xfId="336" applyNumberFormat="1" applyFont="1" applyFill="1" applyBorder="1"/>
    <xf numFmtId="0" fontId="63" fillId="0" borderId="20" xfId="0" applyFont="1" applyBorder="1"/>
    <xf numFmtId="0" fontId="63" fillId="0" borderId="20" xfId="336" applyFont="1" applyBorder="1"/>
    <xf numFmtId="49" fontId="63" fillId="0" borderId="20" xfId="0" applyNumberFormat="1" applyFont="1" applyBorder="1"/>
    <xf numFmtId="49" fontId="100" fillId="0" borderId="20" xfId="336" applyNumberFormat="1" applyFont="1" applyBorder="1"/>
    <xf numFmtId="0" fontId="63" fillId="2" borderId="20" xfId="313" applyFont="1" applyFill="1" applyBorder="1"/>
    <xf numFmtId="0" fontId="100" fillId="2" borderId="20" xfId="3" applyFont="1" applyFill="1" applyBorder="1" applyAlignment="1"/>
    <xf numFmtId="49" fontId="100" fillId="2" borderId="20" xfId="313" applyNumberFormat="1" applyFont="1" applyFill="1" applyBorder="1"/>
    <xf numFmtId="49" fontId="63" fillId="2" borderId="20" xfId="0" applyNumberFormat="1" applyFont="1" applyFill="1" applyBorder="1"/>
    <xf numFmtId="0" fontId="63" fillId="0" borderId="20" xfId="338" applyFont="1" applyBorder="1" applyAlignment="1">
      <alignment horizontal="left" vertical="center"/>
    </xf>
    <xf numFmtId="49" fontId="63" fillId="0" borderId="20" xfId="338" applyNumberFormat="1" applyFont="1" applyBorder="1" applyAlignment="1">
      <alignment horizontal="left"/>
    </xf>
    <xf numFmtId="49" fontId="100" fillId="0" borderId="20" xfId="339" applyNumberFormat="1" applyFont="1" applyBorder="1" applyAlignment="1">
      <alignment horizontal="left" vertical="center"/>
    </xf>
    <xf numFmtId="0" fontId="63" fillId="0" borderId="20" xfId="338" applyFont="1" applyBorder="1" applyAlignment="1">
      <alignment horizontal="left"/>
    </xf>
    <xf numFmtId="0" fontId="88" fillId="0" borderId="20" xfId="340" applyFont="1" applyFill="1" applyBorder="1" applyAlignment="1">
      <alignment horizontal="center" vertical="center" wrapText="1"/>
    </xf>
    <xf numFmtId="49" fontId="63" fillId="0" borderId="20" xfId="0" quotePrefix="1" applyNumberFormat="1" applyFont="1" applyBorder="1"/>
    <xf numFmtId="0" fontId="88" fillId="0" borderId="20" xfId="312" applyFont="1" applyFill="1" applyBorder="1" applyAlignment="1">
      <alignment horizontal="center" wrapText="1"/>
    </xf>
    <xf numFmtId="0" fontId="63" fillId="2" borderId="20" xfId="0" applyFont="1" applyFill="1" applyBorder="1" applyAlignment="1">
      <alignment horizontal="left"/>
    </xf>
    <xf numFmtId="0" fontId="63" fillId="2" borderId="20" xfId="313" applyFont="1" applyFill="1" applyBorder="1" applyAlignment="1">
      <alignment horizontal="left"/>
    </xf>
    <xf numFmtId="49" fontId="63" fillId="2" borderId="20" xfId="0" quotePrefix="1" applyNumberFormat="1" applyFont="1" applyFill="1" applyBorder="1" applyAlignment="1">
      <alignment horizontal="left"/>
    </xf>
    <xf numFmtId="49" fontId="100" fillId="2" borderId="20" xfId="313" applyNumberFormat="1" applyFont="1" applyFill="1" applyBorder="1" applyAlignment="1">
      <alignment horizontal="left"/>
    </xf>
    <xf numFmtId="0" fontId="63" fillId="0" borderId="20" xfId="339" applyFont="1" applyBorder="1" applyAlignment="1">
      <alignment horizontal="left" vertical="center"/>
    </xf>
    <xf numFmtId="0" fontId="63" fillId="0" borderId="20" xfId="0" applyFont="1" applyBorder="1" applyAlignment="1">
      <alignment horizontal="center" vertical="center"/>
    </xf>
    <xf numFmtId="0" fontId="63" fillId="0" borderId="20" xfId="42" applyFont="1" applyBorder="1" applyAlignment="1">
      <alignment horizontal="center" vertical="center"/>
    </xf>
    <xf numFmtId="49" fontId="63" fillId="0" borderId="20" xfId="0" quotePrefix="1" applyNumberFormat="1" applyFont="1" applyBorder="1" applyAlignment="1">
      <alignment horizontal="center"/>
    </xf>
    <xf numFmtId="49" fontId="100" fillId="0" borderId="20" xfId="42" applyNumberFormat="1" applyFont="1" applyBorder="1" applyAlignment="1">
      <alignment horizontal="center" vertical="center"/>
    </xf>
    <xf numFmtId="0" fontId="63" fillId="0" borderId="20" xfId="0" applyFont="1" applyBorder="1" applyAlignment="1">
      <alignment horizontal="center"/>
    </xf>
    <xf numFmtId="0" fontId="31" fillId="0" borderId="20" xfId="1" applyFont="1" applyBorder="1" applyAlignment="1">
      <alignment horizontal="center" vertical="center" wrapText="1"/>
    </xf>
    <xf numFmtId="0" fontId="30" fillId="0" borderId="20" xfId="0" applyFont="1" applyBorder="1" applyAlignment="1">
      <alignment horizontal="center" vertical="center"/>
    </xf>
    <xf numFmtId="0" fontId="88" fillId="0" borderId="20" xfId="221" applyFont="1" applyBorder="1" applyAlignment="1">
      <alignment horizontal="center"/>
    </xf>
    <xf numFmtId="0" fontId="63" fillId="0" borderId="20" xfId="219" applyFont="1" applyBorder="1" applyAlignment="1">
      <alignment horizontal="center"/>
    </xf>
    <xf numFmtId="49" fontId="63" fillId="0" borderId="20" xfId="221" applyNumberFormat="1" applyFont="1" applyBorder="1" applyAlignment="1">
      <alignment horizontal="center"/>
    </xf>
    <xf numFmtId="49" fontId="100" fillId="0" borderId="20" xfId="219" applyNumberFormat="1" applyFont="1" applyBorder="1" applyAlignment="1">
      <alignment horizontal="center"/>
    </xf>
    <xf numFmtId="0" fontId="88" fillId="0" borderId="20" xfId="221" quotePrefix="1" applyFont="1" applyBorder="1" applyAlignment="1">
      <alignment horizontal="center"/>
    </xf>
    <xf numFmtId="0" fontId="88" fillId="0" borderId="20" xfId="342" applyFont="1" applyBorder="1" applyAlignment="1">
      <alignment horizontal="center" wrapText="1"/>
    </xf>
    <xf numFmtId="0" fontId="63" fillId="0" borderId="20" xfId="221" applyFont="1" applyBorder="1" applyAlignment="1">
      <alignment horizontal="center"/>
    </xf>
    <xf numFmtId="49" fontId="63" fillId="0" borderId="20" xfId="219" applyNumberFormat="1" applyFont="1" applyBorder="1" applyAlignment="1">
      <alignment horizontal="center"/>
    </xf>
    <xf numFmtId="0" fontId="63" fillId="0" borderId="20" xfId="224" applyFont="1" applyBorder="1" applyAlignment="1">
      <alignment horizontal="center" vertical="center"/>
    </xf>
    <xf numFmtId="0" fontId="63" fillId="0" borderId="20" xfId="222" applyFont="1" applyBorder="1" applyAlignment="1">
      <alignment horizontal="center" vertical="center"/>
    </xf>
    <xf numFmtId="49" fontId="63" fillId="0" borderId="20" xfId="224" quotePrefix="1" applyNumberFormat="1" applyFont="1" applyBorder="1" applyAlignment="1">
      <alignment horizontal="center" vertical="center"/>
    </xf>
    <xf numFmtId="49" fontId="100" fillId="0" borderId="20" xfId="222" applyNumberFormat="1" applyFont="1" applyBorder="1" applyAlignment="1">
      <alignment horizontal="center" vertical="center"/>
    </xf>
    <xf numFmtId="0" fontId="88" fillId="0" borderId="20" xfId="343" applyFont="1" applyBorder="1" applyAlignment="1">
      <alignment horizontal="center" vertical="center" wrapText="1"/>
    </xf>
    <xf numFmtId="0" fontId="29" fillId="0" borderId="20" xfId="1" applyFont="1" applyFill="1" applyBorder="1" applyAlignment="1">
      <alignment horizontal="center" vertical="center" wrapText="1"/>
    </xf>
    <xf numFmtId="49" fontId="29" fillId="0" borderId="20" xfId="1" applyNumberFormat="1" applyFont="1" applyFill="1" applyBorder="1" applyAlignment="1">
      <alignment horizontal="center" vertical="center" wrapText="1"/>
    </xf>
    <xf numFmtId="49" fontId="25" fillId="0" borderId="20" xfId="0" applyNumberFormat="1" applyFont="1" applyFill="1" applyBorder="1" applyAlignment="1">
      <alignment horizontal="center" vertical="center" wrapText="1"/>
    </xf>
    <xf numFmtId="49" fontId="30" fillId="2" borderId="20" xfId="1" applyNumberFormat="1" applyFont="1" applyFill="1" applyBorder="1" applyAlignment="1">
      <alignment horizontal="center" vertical="center"/>
    </xf>
    <xf numFmtId="0" fontId="0" fillId="0" borderId="20" xfId="0" applyNumberFormat="1" applyBorder="1"/>
    <xf numFmtId="0" fontId="0" fillId="0" borderId="20" xfId="0" applyNumberFormat="1" applyFont="1" applyBorder="1"/>
    <xf numFmtId="0" fontId="0" fillId="0" borderId="20" xfId="0" quotePrefix="1" applyBorder="1"/>
    <xf numFmtId="0" fontId="0" fillId="0" borderId="20" xfId="0" applyBorder="1" applyAlignment="1">
      <alignment wrapText="1"/>
    </xf>
    <xf numFmtId="0" fontId="0" fillId="0" borderId="20" xfId="0" applyFill="1" applyBorder="1"/>
    <xf numFmtId="0" fontId="0" fillId="12" borderId="20" xfId="0" applyNumberFormat="1" applyFill="1" applyBorder="1"/>
    <xf numFmtId="0" fontId="0" fillId="2" borderId="20" xfId="0" applyNumberFormat="1" applyFill="1" applyBorder="1" applyAlignment="1">
      <alignment horizontal="left"/>
    </xf>
    <xf numFmtId="49" fontId="0" fillId="0" borderId="20" xfId="0" applyNumberFormat="1" applyBorder="1"/>
    <xf numFmtId="0" fontId="0" fillId="2" borderId="20" xfId="0" applyFill="1" applyBorder="1"/>
    <xf numFmtId="0" fontId="0" fillId="0" borderId="20" xfId="0" applyBorder="1" applyAlignment="1">
      <alignment horizontal="center" vertical="center"/>
    </xf>
    <xf numFmtId="0" fontId="0" fillId="0" borderId="20" xfId="0" applyFill="1" applyBorder="1" applyAlignment="1">
      <alignment wrapText="1"/>
    </xf>
    <xf numFmtId="0" fontId="0" fillId="0" borderId="20" xfId="0" quotePrefix="1" applyFill="1" applyBorder="1"/>
    <xf numFmtId="49" fontId="30" fillId="0" borderId="20" xfId="1" applyNumberFormat="1" applyFont="1" applyFill="1" applyBorder="1" applyAlignment="1">
      <alignment horizontal="center" vertical="center"/>
    </xf>
    <xf numFmtId="0" fontId="88" fillId="23" borderId="20" xfId="224" quotePrefix="1" applyFont="1" applyFill="1" applyBorder="1" applyAlignment="1">
      <alignment vertical="center"/>
    </xf>
    <xf numFmtId="0" fontId="88" fillId="0" borderId="20" xfId="224" quotePrefix="1" applyFont="1" applyBorder="1" applyAlignment="1">
      <alignment vertical="center"/>
    </xf>
    <xf numFmtId="0" fontId="63" fillId="0" borderId="20" xfId="224" quotePrefix="1" applyFont="1" applyBorder="1" applyAlignment="1">
      <alignment vertical="center"/>
    </xf>
    <xf numFmtId="0" fontId="63" fillId="0" borderId="20" xfId="224" applyFont="1" applyBorder="1" applyAlignment="1">
      <alignment vertical="center"/>
    </xf>
    <xf numFmtId="0" fontId="71" fillId="0" borderId="20" xfId="225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53" fillId="0" borderId="20" xfId="26" applyBorder="1"/>
    <xf numFmtId="0" fontId="88" fillId="23" borderId="20" xfId="224" applyFont="1" applyFill="1" applyBorder="1" applyAlignment="1">
      <alignment horizontal="left" vertical="center"/>
    </xf>
    <xf numFmtId="0" fontId="88" fillId="0" borderId="20" xfId="224" applyFont="1" applyBorder="1" applyAlignment="1">
      <alignment horizontal="left" vertical="center"/>
    </xf>
    <xf numFmtId="0" fontId="88" fillId="0" borderId="20" xfId="224" applyFont="1" applyBorder="1" applyAlignment="1">
      <alignment horizontal="left" vertical="center" wrapText="1"/>
    </xf>
    <xf numFmtId="0" fontId="88" fillId="0" borderId="20" xfId="224" applyFont="1" applyBorder="1" applyAlignment="1">
      <alignment horizontal="left" vertical="top"/>
    </xf>
    <xf numFmtId="0" fontId="0" fillId="0" borderId="20" xfId="0" applyNumberFormat="1" applyBorder="1" applyAlignment="1">
      <alignment horizontal="left" vertical="center"/>
    </xf>
    <xf numFmtId="0" fontId="0" fillId="0" borderId="20" xfId="0" applyNumberFormat="1" applyFont="1" applyBorder="1" applyAlignment="1">
      <alignment horizontal="left" vertical="center"/>
    </xf>
    <xf numFmtId="0" fontId="0" fillId="0" borderId="20" xfId="0" quotePrefix="1" applyBorder="1" applyAlignment="1">
      <alignment horizontal="left" vertical="center"/>
    </xf>
    <xf numFmtId="0" fontId="0" fillId="0" borderId="20" xfId="0" applyFill="1" applyBorder="1" applyAlignment="1">
      <alignment horizontal="left" vertical="center"/>
    </xf>
    <xf numFmtId="0" fontId="53" fillId="0" borderId="20" xfId="26" applyBorder="1" applyAlignment="1">
      <alignment horizontal="left" vertical="center"/>
    </xf>
    <xf numFmtId="0" fontId="0" fillId="12" borderId="20" xfId="0" applyNumberFormat="1" applyFill="1" applyBorder="1" applyAlignment="1">
      <alignment vertical="center"/>
    </xf>
    <xf numFmtId="0" fontId="58" fillId="0" borderId="20" xfId="0" applyFont="1" applyBorder="1" applyAlignment="1">
      <alignment vertical="center"/>
    </xf>
    <xf numFmtId="0" fontId="59" fillId="0" borderId="20" xfId="0" applyFont="1" applyBorder="1" applyAlignment="1">
      <alignment vertical="center"/>
    </xf>
    <xf numFmtId="0" fontId="4" fillId="0" borderId="20" xfId="224" applyBorder="1" applyAlignment="1">
      <alignment horizontal="left" vertical="center"/>
    </xf>
    <xf numFmtId="0" fontId="4" fillId="0" borderId="20" xfId="224" quotePrefix="1" applyBorder="1" applyAlignment="1">
      <alignment horizontal="left" vertical="center"/>
    </xf>
    <xf numFmtId="0" fontId="99" fillId="0" borderId="20" xfId="225" applyBorder="1" applyAlignment="1">
      <alignment horizontal="left" vertical="center"/>
    </xf>
    <xf numFmtId="0" fontId="0" fillId="12" borderId="20" xfId="0" applyFill="1" applyBorder="1"/>
    <xf numFmtId="0" fontId="0" fillId="0" borderId="20" xfId="0" applyFont="1" applyBorder="1"/>
    <xf numFmtId="49" fontId="0" fillId="0" borderId="20" xfId="0" applyNumberFormat="1" applyBorder="1" applyAlignment="1">
      <alignment horizontal="left"/>
    </xf>
    <xf numFmtId="0" fontId="30" fillId="0" borderId="20" xfId="0" applyFont="1" applyBorder="1" applyAlignment="1">
      <alignment horizontal="center"/>
    </xf>
    <xf numFmtId="0" fontId="63" fillId="0" borderId="20" xfId="0" applyFont="1" applyFill="1" applyBorder="1" applyAlignment="1">
      <alignment horizontal="left" vertical="center"/>
    </xf>
    <xf numFmtId="0" fontId="71" fillId="0" borderId="20" xfId="26" applyFont="1" applyBorder="1"/>
    <xf numFmtId="0" fontId="46" fillId="0" borderId="20" xfId="26" applyFont="1" applyBorder="1"/>
    <xf numFmtId="0" fontId="0" fillId="0" borderId="20" xfId="0" applyFill="1" applyBorder="1" applyAlignment="1">
      <alignment horizontal="left"/>
    </xf>
    <xf numFmtId="0" fontId="53" fillId="0" borderId="20" xfId="26" applyFill="1" applyBorder="1"/>
    <xf numFmtId="0" fontId="63" fillId="23" borderId="20" xfId="0" applyFont="1" applyFill="1" applyBorder="1" applyAlignment="1">
      <alignment horizontal="left" vertical="center"/>
    </xf>
    <xf numFmtId="0" fontId="63" fillId="0" borderId="20" xfId="0" quotePrefix="1" applyFont="1" applyBorder="1" applyAlignment="1">
      <alignment horizontal="left" vertical="center"/>
    </xf>
    <xf numFmtId="0" fontId="71" fillId="0" borderId="20" xfId="217" applyFont="1" applyBorder="1" applyAlignment="1">
      <alignment horizontal="left" vertical="center"/>
    </xf>
    <xf numFmtId="49" fontId="72" fillId="2" borderId="20" xfId="1" applyNumberFormat="1" applyFont="1" applyFill="1" applyBorder="1" applyAlignment="1">
      <alignment horizontal="center" vertical="center"/>
    </xf>
    <xf numFmtId="0" fontId="73" fillId="0" borderId="20" xfId="0" applyFont="1" applyBorder="1"/>
    <xf numFmtId="0" fontId="0" fillId="2" borderId="20" xfId="0" applyFill="1" applyBorder="1" applyAlignment="1">
      <alignment horizontal="left"/>
    </xf>
    <xf numFmtId="0" fontId="60" fillId="0" borderId="20" xfId="0" quotePrefix="1" applyNumberFormat="1" applyFont="1" applyBorder="1" applyAlignment="1">
      <alignment vertical="center"/>
    </xf>
    <xf numFmtId="0" fontId="0" fillId="12" borderId="20" xfId="0" applyNumberFormat="1" applyFill="1" applyBorder="1" applyAlignment="1">
      <alignment horizontal="left" vertical="center"/>
    </xf>
    <xf numFmtId="0" fontId="0" fillId="0" borderId="20" xfId="0" applyNumberFormat="1" applyFont="1" applyFill="1" applyBorder="1" applyAlignment="1">
      <alignment horizontal="left" vertical="center" wrapText="1"/>
    </xf>
    <xf numFmtId="1" fontId="0" fillId="0" borderId="20" xfId="0" quotePrefix="1" applyNumberFormat="1" applyFill="1" applyBorder="1" applyAlignment="1">
      <alignment horizontal="left" vertical="center"/>
    </xf>
    <xf numFmtId="0" fontId="0" fillId="0" borderId="20" xfId="0" applyFill="1" applyBorder="1" applyAlignment="1">
      <alignment horizontal="left" vertical="center" wrapText="1"/>
    </xf>
    <xf numFmtId="0" fontId="53" fillId="0" borderId="20" xfId="26" applyFill="1" applyBorder="1" applyAlignment="1">
      <alignment horizontal="left" vertical="center"/>
    </xf>
    <xf numFmtId="0" fontId="0" fillId="0" borderId="20" xfId="0" applyNumberFormat="1" applyFont="1" applyFill="1" applyBorder="1" applyAlignment="1">
      <alignment horizontal="left" vertical="center"/>
    </xf>
    <xf numFmtId="0" fontId="0" fillId="0" borderId="20" xfId="0" quotePrefix="1" applyFill="1" applyBorder="1" applyAlignment="1">
      <alignment horizontal="left" vertical="center"/>
    </xf>
    <xf numFmtId="0" fontId="11" fillId="12" borderId="20" xfId="88" applyNumberFormat="1" applyFill="1" applyBorder="1" applyAlignment="1">
      <alignment horizontal="left" vertical="center"/>
    </xf>
    <xf numFmtId="0" fontId="2" fillId="0" borderId="20" xfId="88" applyNumberFormat="1" applyFont="1" applyFill="1" applyBorder="1" applyAlignment="1">
      <alignment horizontal="left" vertical="center"/>
    </xf>
    <xf numFmtId="0" fontId="11" fillId="0" borderId="20" xfId="88" applyFill="1" applyBorder="1" applyAlignment="1">
      <alignment horizontal="left" vertical="center"/>
    </xf>
    <xf numFmtId="0" fontId="11" fillId="0" borderId="20" xfId="88" quotePrefix="1" applyFill="1" applyBorder="1" applyAlignment="1">
      <alignment horizontal="left" vertical="center"/>
    </xf>
    <xf numFmtId="0" fontId="11" fillId="0" borderId="20" xfId="88" applyFill="1" applyBorder="1" applyAlignment="1">
      <alignment horizontal="left" vertical="center" wrapText="1"/>
    </xf>
    <xf numFmtId="0" fontId="53" fillId="0" borderId="20" xfId="26" applyFill="1" applyBorder="1" applyAlignment="1">
      <alignment horizontal="left" vertical="center" wrapText="1"/>
    </xf>
    <xf numFmtId="49" fontId="0" fillId="0" borderId="20" xfId="0" quotePrefix="1" applyNumberFormat="1" applyBorder="1" applyAlignment="1">
      <alignment horizontal="left" vertical="center"/>
    </xf>
    <xf numFmtId="49" fontId="30" fillId="2" borderId="21" xfId="1" applyNumberFormat="1" applyFont="1" applyFill="1" applyBorder="1" applyAlignment="1">
      <alignment horizontal="center" vertical="center"/>
    </xf>
    <xf numFmtId="0" fontId="11" fillId="12" borderId="21" xfId="88" applyNumberFormat="1" applyFill="1" applyBorder="1" applyAlignment="1">
      <alignment horizontal="left" vertical="center"/>
    </xf>
    <xf numFmtId="0" fontId="0" fillId="0" borderId="21" xfId="0" applyFill="1" applyBorder="1" applyAlignment="1">
      <alignment horizontal="left"/>
    </xf>
    <xf numFmtId="0" fontId="11" fillId="0" borderId="21" xfId="88" applyFill="1" applyBorder="1" applyAlignment="1">
      <alignment horizontal="left" vertical="center"/>
    </xf>
    <xf numFmtId="49" fontId="0" fillId="0" borderId="21" xfId="0" quotePrefix="1" applyNumberFormat="1" applyFill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30" fillId="2" borderId="20" xfId="0" applyFont="1" applyFill="1" applyBorder="1" applyAlignment="1">
      <alignment horizontal="center"/>
    </xf>
    <xf numFmtId="0" fontId="30" fillId="0" borderId="21" xfId="0" applyFont="1" applyBorder="1" applyAlignment="1">
      <alignment horizontal="center"/>
    </xf>
    <xf numFmtId="0" fontId="63" fillId="0" borderId="21" xfId="0" applyFont="1" applyBorder="1"/>
    <xf numFmtId="49" fontId="63" fillId="0" borderId="21" xfId="0" applyNumberFormat="1" applyFont="1" applyBorder="1"/>
    <xf numFmtId="0" fontId="63" fillId="0" borderId="21" xfId="0" applyFont="1" applyFill="1" applyBorder="1" applyAlignment="1">
      <alignment horizontal="left" vertical="center"/>
    </xf>
    <xf numFmtId="0" fontId="71" fillId="0" borderId="21" xfId="26" applyFont="1" applyBorder="1"/>
    <xf numFmtId="0" fontId="0" fillId="2" borderId="20" xfId="0" applyFill="1" applyBorder="1" applyAlignment="1">
      <alignment horizontal="center"/>
    </xf>
    <xf numFmtId="0" fontId="0" fillId="6" borderId="20" xfId="0" applyFill="1" applyBorder="1" applyAlignment="1">
      <alignment horizontal="left" vertical="center"/>
    </xf>
    <xf numFmtId="0" fontId="0" fillId="6" borderId="20" xfId="0" applyFill="1" applyBorder="1"/>
    <xf numFmtId="0" fontId="0" fillId="0" borderId="22" xfId="0" applyNumberFormat="1" applyBorder="1" applyAlignment="1">
      <alignment horizontal="left" vertical="center"/>
    </xf>
    <xf numFmtId="0" fontId="0" fillId="0" borderId="21" xfId="0" applyNumberFormat="1" applyFont="1" applyBorder="1" applyAlignment="1">
      <alignment horizontal="left" vertical="center" wrapText="1"/>
    </xf>
    <xf numFmtId="0" fontId="0" fillId="0" borderId="21" xfId="0" applyNumberFormat="1" applyBorder="1" applyAlignment="1">
      <alignment horizontal="left" vertical="center"/>
    </xf>
    <xf numFmtId="0" fontId="0" fillId="0" borderId="21" xfId="0" quotePrefix="1" applyBorder="1" applyAlignment="1">
      <alignment horizontal="left" vertical="center"/>
    </xf>
    <xf numFmtId="0" fontId="0" fillId="0" borderId="21" xfId="0" applyFill="1" applyBorder="1" applyAlignment="1">
      <alignment horizontal="left" vertical="center"/>
    </xf>
    <xf numFmtId="0" fontId="53" fillId="0" borderId="21" xfId="26" applyBorder="1" applyAlignment="1">
      <alignment horizontal="left" vertical="center"/>
    </xf>
    <xf numFmtId="49" fontId="0" fillId="0" borderId="21" xfId="0" applyNumberFormat="1" applyBorder="1"/>
    <xf numFmtId="0" fontId="0" fillId="0" borderId="21" xfId="0" applyBorder="1" applyAlignment="1">
      <alignment horizontal="left"/>
    </xf>
    <xf numFmtId="0" fontId="0" fillId="0" borderId="23" xfId="0" applyBorder="1" applyAlignment="1">
      <alignment horizontal="center"/>
    </xf>
    <xf numFmtId="0" fontId="0" fillId="0" borderId="22" xfId="0" applyBorder="1"/>
    <xf numFmtId="49" fontId="0" fillId="0" borderId="20" xfId="0" applyNumberFormat="1" applyBorder="1" applyAlignment="1">
      <alignment horizontal="left" vertical="center"/>
    </xf>
    <xf numFmtId="0" fontId="0" fillId="0" borderId="20" xfId="0" applyFill="1" applyBorder="1" applyAlignment="1">
      <alignment horizontal="center"/>
    </xf>
    <xf numFmtId="14" fontId="0" fillId="0" borderId="20" xfId="0" applyNumberFormat="1" applyBorder="1"/>
    <xf numFmtId="14" fontId="0" fillId="6" borderId="20" xfId="0" applyNumberFormat="1" applyFill="1" applyBorder="1"/>
    <xf numFmtId="0" fontId="2" fillId="0" borderId="20" xfId="42" applyNumberFormat="1" applyFont="1" applyBorder="1" applyAlignment="1">
      <alignment horizontal="left" vertical="center"/>
    </xf>
    <xf numFmtId="0" fontId="55" fillId="0" borderId="20" xfId="42" applyNumberFormat="1" applyFont="1" applyBorder="1" applyAlignment="1">
      <alignment horizontal="left" vertical="center"/>
    </xf>
    <xf numFmtId="0" fontId="0" fillId="2" borderId="20" xfId="0" applyFont="1" applyFill="1" applyBorder="1" applyAlignment="1">
      <alignment horizontal="center"/>
    </xf>
    <xf numFmtId="0" fontId="55" fillId="0" borderId="20" xfId="0" quotePrefix="1" applyNumberFormat="1" applyFont="1" applyBorder="1" applyAlignment="1">
      <alignment horizontal="left" vertical="center"/>
    </xf>
    <xf numFmtId="0" fontId="48" fillId="0" borderId="20" xfId="0" applyNumberFormat="1" applyFont="1" applyBorder="1" applyAlignment="1">
      <alignment horizontal="left" vertical="center"/>
    </xf>
    <xf numFmtId="0" fontId="61" fillId="0" borderId="20" xfId="0" applyNumberFormat="1" applyFont="1" applyBorder="1" applyAlignment="1">
      <alignment horizontal="left" vertical="center"/>
    </xf>
    <xf numFmtId="0" fontId="2" fillId="0" borderId="20" xfId="0" applyFont="1" applyBorder="1"/>
    <xf numFmtId="14" fontId="0" fillId="0" borderId="20" xfId="0" applyNumberFormat="1" applyFont="1" applyBorder="1"/>
    <xf numFmtId="0" fontId="36" fillId="2" borderId="20" xfId="0" applyNumberFormat="1" applyFont="1" applyFill="1" applyBorder="1" applyAlignment="1">
      <alignment horizontal="left" vertical="center"/>
    </xf>
    <xf numFmtId="49" fontId="63" fillId="2" borderId="20" xfId="16" applyNumberFormat="1" applyFont="1" applyFill="1" applyBorder="1" applyAlignment="1">
      <alignment horizontal="left" vertical="top"/>
    </xf>
    <xf numFmtId="0" fontId="36" fillId="0" borderId="20" xfId="0" applyNumberFormat="1" applyFont="1" applyBorder="1" applyAlignment="1">
      <alignment horizontal="left" vertical="center"/>
    </xf>
    <xf numFmtId="0" fontId="32" fillId="0" borderId="20" xfId="6" applyNumberFormat="1" applyFont="1" applyBorder="1" applyAlignment="1">
      <alignment horizontal="left" vertical="center"/>
    </xf>
    <xf numFmtId="49" fontId="63" fillId="2" borderId="21" xfId="16" applyNumberFormat="1" applyFont="1" applyFill="1" applyBorder="1" applyAlignment="1">
      <alignment horizontal="left" vertical="top"/>
    </xf>
    <xf numFmtId="0" fontId="32" fillId="2" borderId="20" xfId="6" applyNumberFormat="1" applyFont="1" applyFill="1" applyBorder="1" applyAlignment="1">
      <alignment horizontal="left" vertical="center"/>
    </xf>
    <xf numFmtId="0" fontId="0" fillId="0" borderId="20" xfId="0" applyFont="1" applyFill="1" applyBorder="1"/>
    <xf numFmtId="0" fontId="46" fillId="2" borderId="20" xfId="0" applyFont="1" applyFill="1" applyBorder="1" applyAlignment="1">
      <alignment horizontal="center"/>
    </xf>
    <xf numFmtId="0" fontId="35" fillId="0" borderId="20" xfId="44" applyNumberFormat="1" applyFont="1" applyBorder="1" applyAlignment="1">
      <alignment horizontal="left" vertical="center"/>
    </xf>
    <xf numFmtId="0" fontId="0" fillId="0" borderId="20" xfId="44" quotePrefix="1" applyNumberFormat="1" applyFont="1" applyBorder="1" applyAlignment="1">
      <alignment horizontal="left" vertical="center"/>
    </xf>
    <xf numFmtId="0" fontId="48" fillId="0" borderId="20" xfId="0" applyNumberFormat="1" applyFont="1" applyBorder="1" applyAlignment="1">
      <alignment vertical="center"/>
    </xf>
    <xf numFmtId="0" fontId="2" fillId="0" borderId="20" xfId="0" quotePrefix="1" applyNumberFormat="1" applyFont="1" applyBorder="1" applyAlignment="1">
      <alignment vertical="center"/>
    </xf>
    <xf numFmtId="0" fontId="2" fillId="0" borderId="20" xfId="0" quotePrefix="1" applyNumberFormat="1" applyFont="1" applyBorder="1" applyAlignment="1">
      <alignment horizontal="left" vertical="center"/>
    </xf>
    <xf numFmtId="0" fontId="48" fillId="0" borderId="20" xfId="0" quotePrefix="1" applyNumberFormat="1" applyFont="1" applyBorder="1" applyAlignment="1">
      <alignment horizontal="left" vertical="center"/>
    </xf>
    <xf numFmtId="0" fontId="29" fillId="0" borderId="20" xfId="1" applyNumberFormat="1" applyFont="1" applyFill="1" applyBorder="1" applyAlignment="1">
      <alignment horizontal="center" vertical="center" wrapText="1"/>
    </xf>
    <xf numFmtId="166" fontId="0" fillId="0" borderId="20" xfId="0" applyNumberFormat="1" applyBorder="1"/>
    <xf numFmtId="22" fontId="0" fillId="8" borderId="20" xfId="0" applyNumberFormat="1" applyFill="1" applyBorder="1"/>
    <xf numFmtId="0" fontId="0" fillId="0" borderId="24" xfId="0" applyNumberFormat="1" applyBorder="1"/>
    <xf numFmtId="0" fontId="0" fillId="0" borderId="25" xfId="0" applyBorder="1"/>
    <xf numFmtId="49" fontId="0" fillId="0" borderId="20" xfId="0" applyNumberFormat="1" applyBorder="1" applyAlignment="1">
      <alignment horizontal="center"/>
    </xf>
    <xf numFmtId="49" fontId="0" fillId="2" borderId="20" xfId="0" applyNumberFormat="1" applyFill="1" applyBorder="1" applyAlignment="1">
      <alignment horizontal="center"/>
    </xf>
    <xf numFmtId="14" fontId="0" fillId="0" borderId="20" xfId="0" applyNumberFormat="1" applyBorder="1" applyAlignment="1">
      <alignment horizontal="left"/>
    </xf>
    <xf numFmtId="0" fontId="2" fillId="0" borderId="20" xfId="0" applyFont="1" applyBorder="1" applyAlignment="1">
      <alignment horizontal="center"/>
    </xf>
    <xf numFmtId="9" fontId="2" fillId="0" borderId="20" xfId="0" applyNumberFormat="1" applyFont="1" applyBorder="1" applyAlignment="1">
      <alignment horizontal="center"/>
    </xf>
    <xf numFmtId="9" fontId="2" fillId="2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0" fontId="61" fillId="5" borderId="20" xfId="0" applyNumberFormat="1" applyFont="1" applyFill="1" applyBorder="1" applyAlignment="1">
      <alignment horizontal="center" vertical="center"/>
    </xf>
    <xf numFmtId="49" fontId="2" fillId="5" borderId="20" xfId="16" applyNumberFormat="1" applyFont="1" applyFill="1" applyBorder="1" applyAlignment="1">
      <alignment horizontal="center" vertical="top"/>
    </xf>
    <xf numFmtId="0" fontId="2" fillId="0" borderId="20" xfId="42" applyNumberFormat="1" applyFont="1" applyBorder="1" applyAlignment="1">
      <alignment horizontal="center" vertical="center"/>
    </xf>
    <xf numFmtId="49" fontId="2" fillId="0" borderId="20" xfId="42" applyNumberFormat="1" applyFont="1" applyBorder="1" applyAlignment="1">
      <alignment horizontal="center" vertical="center"/>
    </xf>
    <xf numFmtId="9" fontId="61" fillId="0" borderId="20" xfId="0" applyNumberFormat="1" applyFont="1" applyBorder="1" applyAlignment="1">
      <alignment horizontal="center" vertical="center"/>
    </xf>
    <xf numFmtId="49" fontId="2" fillId="2" borderId="20" xfId="16" applyNumberFormat="1" applyFont="1" applyFill="1" applyBorder="1" applyAlignment="1">
      <alignment horizontal="center" vertical="top"/>
    </xf>
    <xf numFmtId="0" fontId="2" fillId="0" borderId="20" xfId="0" applyNumberFormat="1" applyFont="1" applyBorder="1" applyAlignment="1">
      <alignment horizontal="center" vertical="center"/>
    </xf>
    <xf numFmtId="49" fontId="2" fillId="0" borderId="20" xfId="0" applyNumberFormat="1" applyFont="1" applyBorder="1" applyAlignment="1">
      <alignment horizontal="center" vertical="center"/>
    </xf>
    <xf numFmtId="0" fontId="48" fillId="0" borderId="20" xfId="0" applyNumberFormat="1" applyFont="1" applyBorder="1" applyAlignment="1">
      <alignment horizontal="center" vertical="center"/>
    </xf>
    <xf numFmtId="49" fontId="48" fillId="0" borderId="20" xfId="0" applyNumberFormat="1" applyFont="1" applyBorder="1" applyAlignment="1">
      <alignment horizontal="center" vertical="center"/>
    </xf>
    <xf numFmtId="0" fontId="60" fillId="0" borderId="20" xfId="0" quotePrefix="1" applyNumberFormat="1" applyFont="1" applyBorder="1" applyAlignment="1">
      <alignment horizontal="left" vertical="center"/>
    </xf>
    <xf numFmtId="0" fontId="61" fillId="0" borderId="20" xfId="0" applyNumberFormat="1" applyFont="1" applyBorder="1" applyAlignment="1">
      <alignment horizontal="center" vertical="center"/>
    </xf>
    <xf numFmtId="49" fontId="61" fillId="0" borderId="20" xfId="0" applyNumberFormat="1" applyFont="1" applyBorder="1" applyAlignment="1">
      <alignment horizontal="center" vertical="center"/>
    </xf>
    <xf numFmtId="49" fontId="2" fillId="0" borderId="20" xfId="0" applyNumberFormat="1" applyFont="1" applyBorder="1" applyAlignment="1">
      <alignment horizontal="center"/>
    </xf>
    <xf numFmtId="9" fontId="2" fillId="0" borderId="20" xfId="6" applyNumberFormat="1" applyFont="1" applyBorder="1" applyAlignment="1">
      <alignment horizontal="center" vertical="center"/>
    </xf>
    <xf numFmtId="0" fontId="36" fillId="0" borderId="20" xfId="0" applyNumberFormat="1" applyFont="1" applyBorder="1" applyAlignment="1">
      <alignment horizontal="center" vertical="center"/>
    </xf>
    <xf numFmtId="49" fontId="36" fillId="0" borderId="20" xfId="0" applyNumberFormat="1" applyFont="1" applyBorder="1" applyAlignment="1">
      <alignment horizontal="center" vertical="center"/>
    </xf>
    <xf numFmtId="0" fontId="32" fillId="0" borderId="20" xfId="6" applyNumberFormat="1" applyFont="1" applyBorder="1" applyAlignment="1">
      <alignment horizontal="center" vertical="center"/>
    </xf>
    <xf numFmtId="49" fontId="32" fillId="0" borderId="20" xfId="6" applyNumberFormat="1" applyFont="1" applyBorder="1" applyAlignment="1">
      <alignment horizontal="center" vertical="center"/>
    </xf>
    <xf numFmtId="0" fontId="35" fillId="0" borderId="20" xfId="44" applyNumberFormat="1" applyFont="1" applyBorder="1" applyAlignment="1">
      <alignment horizontal="center" vertical="center"/>
    </xf>
    <xf numFmtId="49" fontId="35" fillId="0" borderId="20" xfId="44" applyNumberFormat="1" applyFont="1" applyBorder="1" applyAlignment="1">
      <alignment horizontal="center" vertical="center"/>
    </xf>
    <xf numFmtId="0" fontId="46" fillId="0" borderId="20" xfId="44" quotePrefix="1" applyNumberFormat="1" applyFont="1" applyBorder="1" applyAlignment="1">
      <alignment horizontal="left" vertical="center"/>
    </xf>
    <xf numFmtId="14" fontId="0" fillId="0" borderId="20" xfId="0" applyNumberFormat="1" applyFont="1" applyBorder="1" applyAlignment="1">
      <alignment horizontal="left"/>
    </xf>
    <xf numFmtId="0" fontId="48" fillId="0" borderId="20" xfId="0" quotePrefix="1" applyNumberFormat="1" applyFont="1" applyBorder="1" applyAlignment="1">
      <alignment vertical="center"/>
    </xf>
    <xf numFmtId="0" fontId="0" fillId="5" borderId="20" xfId="0" applyFill="1" applyBorder="1" applyAlignment="1">
      <alignment horizontal="center"/>
    </xf>
    <xf numFmtId="9" fontId="0" fillId="0" borderId="20" xfId="0" applyNumberFormat="1" applyBorder="1" applyAlignment="1">
      <alignment horizontal="center"/>
    </xf>
    <xf numFmtId="49" fontId="48" fillId="2" borderId="20" xfId="1" applyNumberFormat="1" applyFont="1" applyFill="1" applyBorder="1" applyAlignment="1">
      <alignment horizontal="center" vertical="center"/>
    </xf>
    <xf numFmtId="49" fontId="48" fillId="0" borderId="20" xfId="0" applyNumberFormat="1" applyFont="1" applyFill="1" applyBorder="1" applyAlignment="1">
      <alignment horizontal="center" vertical="center"/>
    </xf>
    <xf numFmtId="14" fontId="2" fillId="0" borderId="20" xfId="0" applyNumberFormat="1" applyFont="1" applyBorder="1" applyAlignment="1">
      <alignment horizontal="left"/>
    </xf>
    <xf numFmtId="49" fontId="2" fillId="2" borderId="20" xfId="1" applyNumberFormat="1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4" fillId="0" borderId="3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62" fillId="5" borderId="0" xfId="0" applyFont="1" applyFill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6" borderId="0" xfId="0" applyFill="1" applyAlignment="1">
      <alignment horizontal="center"/>
    </xf>
    <xf numFmtId="0" fontId="33" fillId="0" borderId="5" xfId="0" applyFont="1" applyBorder="1" applyAlignment="1">
      <alignment horizontal="center"/>
    </xf>
  </cellXfs>
  <cellStyles count="344">
    <cellStyle name="Comma 2" xfId="5" xr:uid="{00000000-0005-0000-0000-000000000000}"/>
    <cellStyle name="Comma 2 2" xfId="8" xr:uid="{00000000-0005-0000-0000-000001000000}"/>
    <cellStyle name="Comma 2 2 2" xfId="54" xr:uid="{00000000-0005-0000-0000-000002000000}"/>
    <cellStyle name="Comma 2 2 2 2" xfId="111" xr:uid="{00000000-0005-0000-0000-000003000000}"/>
    <cellStyle name="Comma 2 2 2 2 2" xfId="320" xr:uid="{4A7F6241-A9E0-439D-AB31-D4090C248A5B}"/>
    <cellStyle name="Comma 2 2 2 3" xfId="268" xr:uid="{954398EF-177E-4E68-8F7E-CF17D45870AC}"/>
    <cellStyle name="Comma 2 2 3" xfId="123" xr:uid="{00000000-0005-0000-0000-000004000000}"/>
    <cellStyle name="Comma 2 2 3 2" xfId="321" xr:uid="{6237CE7F-58A8-40ED-8A75-0A54650CA198}"/>
    <cellStyle name="Comma 2 2 4" xfId="229" xr:uid="{2AE27E17-A308-40F0-AFB0-8FFA13196112}"/>
    <cellStyle name="Comma 2 3" xfId="52" xr:uid="{00000000-0005-0000-0000-000005000000}"/>
    <cellStyle name="Comma 2 3 2" xfId="109" xr:uid="{00000000-0005-0000-0000-000006000000}"/>
    <cellStyle name="Comma 2 3 2 2" xfId="318" xr:uid="{2E7A13CD-E71C-47EC-9238-66AA0C36F5C2}"/>
    <cellStyle name="Comma 2 3 3" xfId="266" xr:uid="{92CF1517-5258-4E8E-B950-294D4F407ABB}"/>
    <cellStyle name="Comma 2 4" xfId="110" xr:uid="{00000000-0005-0000-0000-000007000000}"/>
    <cellStyle name="Comma 2 4 2" xfId="319" xr:uid="{60466409-5C80-414C-BCF6-069484D360F9}"/>
    <cellStyle name="Comma 2 5" xfId="227" xr:uid="{0E72E721-7F4C-4386-9CE3-7E22FF85E4A6}"/>
    <cellStyle name="Comma 3" xfId="12" xr:uid="{00000000-0005-0000-0000-000008000000}"/>
    <cellStyle name="Comma 3 2" xfId="57" xr:uid="{00000000-0005-0000-0000-000009000000}"/>
    <cellStyle name="Comma 3 2 2" xfId="124" xr:uid="{00000000-0005-0000-0000-00000A000000}"/>
    <cellStyle name="Comma 3 2 3" xfId="271" xr:uid="{AFFE6FD1-85EA-40AA-80CF-F85DD13940FF}"/>
    <cellStyle name="Comma 3 3" xfId="106" xr:uid="{00000000-0005-0000-0000-00000B000000}"/>
    <cellStyle name="Comma 3 4" xfId="232" xr:uid="{95554ACE-6EE6-4964-9997-060326EBF103}"/>
    <cellStyle name="Comma 4" xfId="28" xr:uid="{00000000-0005-0000-0000-00000C000000}"/>
    <cellStyle name="Comma 4 2" xfId="70" xr:uid="{00000000-0005-0000-0000-00000D000000}"/>
    <cellStyle name="Comma 4 2 2" xfId="118" xr:uid="{00000000-0005-0000-0000-00000E000000}"/>
    <cellStyle name="Comma 4 2 3" xfId="284" xr:uid="{E29E4D87-2285-4A4B-8F8F-1FC0BCAD8374}"/>
    <cellStyle name="Comma 4 3" xfId="113" xr:uid="{00000000-0005-0000-0000-00000F000000}"/>
    <cellStyle name="Comma 4 4" xfId="245" xr:uid="{87164D03-0564-4801-B35B-281DE68E1F8B}"/>
    <cellStyle name="Comma 5" xfId="48" xr:uid="{00000000-0005-0000-0000-000010000000}"/>
    <cellStyle name="Comma 5 2" xfId="121" xr:uid="{00000000-0005-0000-0000-000011000000}"/>
    <cellStyle name="Comma 5 3" xfId="263" xr:uid="{53FF20B5-5FA3-43F2-92F3-72C217BBF078}"/>
    <cellStyle name="Hyperlink" xfId="26" builtinId="8"/>
    <cellStyle name="Hyperlink 2" xfId="217" xr:uid="{00000000-0005-0000-0000-000013000000}"/>
    <cellStyle name="Hyperlink 4" xfId="225" xr:uid="{D9E9A8AF-B7E2-4FE3-ACD1-FE91C1B30DFC}"/>
    <cellStyle name="Normal" xfId="0" builtinId="0"/>
    <cellStyle name="Normal 10" xfId="112" xr:uid="{00000000-0005-0000-0000-000015000000}"/>
    <cellStyle name="Normal 11" xfId="224" xr:uid="{81675F14-0618-4F3F-8834-EFDCE9C733A9}"/>
    <cellStyle name="Normal 11 2" xfId="341" xr:uid="{FFCB24CB-6522-4406-B3C1-07D481631FBC}"/>
    <cellStyle name="Normal 2" xfId="1" xr:uid="{00000000-0005-0000-0000-000016000000}"/>
    <cellStyle name="Normal 2 10" xfId="39" xr:uid="{00000000-0005-0000-0000-000017000000}"/>
    <cellStyle name="Normal 2 10 2" xfId="80" xr:uid="{00000000-0005-0000-0000-000018000000}"/>
    <cellStyle name="Normal 2 10 2 2" xfId="120" xr:uid="{00000000-0005-0000-0000-000019000000}"/>
    <cellStyle name="Normal 2 10 2 3" xfId="294" xr:uid="{5FB33D4A-8910-49E9-B1DB-5F9EB88B553B}"/>
    <cellStyle name="Normal 2 10 3" xfId="122" xr:uid="{00000000-0005-0000-0000-00001A000000}"/>
    <cellStyle name="Normal 2 10 4" xfId="125" xr:uid="{00000000-0005-0000-0000-00001B000000}"/>
    <cellStyle name="Normal 2 10 5" xfId="211" xr:uid="{00000000-0005-0000-0000-00001C000000}"/>
    <cellStyle name="Normal 2 10 5 2" xfId="330" xr:uid="{DED3D30E-423C-403D-8447-C094C7C93AB3}"/>
    <cellStyle name="Normal 2 10 6" xfId="98" xr:uid="{00000000-0005-0000-0000-00001D000000}"/>
    <cellStyle name="Normal 2 10 6 2" xfId="312" xr:uid="{F38A1BE8-9BC5-4A25-ABBE-0CD535A39758}"/>
    <cellStyle name="Normal 2 10 7" xfId="255" xr:uid="{E36F5FF2-3272-46ED-B9CB-01C5FB3E289B}"/>
    <cellStyle name="Normal 2 10 8" xfId="220" xr:uid="{953CDC74-2E76-43C8-BCF3-391C82E93EFB}"/>
    <cellStyle name="Normal 2 10 8 2" xfId="337" xr:uid="{DCC88CCB-1E65-440D-ABAF-B583DFB51540}"/>
    <cellStyle name="Normal 2 10 9" xfId="343" xr:uid="{32416470-52A0-4E13-9CEF-BDF59DDE358B}"/>
    <cellStyle name="Normal 2 11" xfId="42" xr:uid="{00000000-0005-0000-0000-00001E000000}"/>
    <cellStyle name="Normal 2 11 2" xfId="83" xr:uid="{00000000-0005-0000-0000-00001F000000}"/>
    <cellStyle name="Normal 2 11 2 2" xfId="127" xr:uid="{00000000-0005-0000-0000-000020000000}"/>
    <cellStyle name="Normal 2 11 2 3" xfId="297" xr:uid="{57EA3EA5-57A3-4592-B145-6949E753296C}"/>
    <cellStyle name="Normal 2 11 3" xfId="128" xr:uid="{00000000-0005-0000-0000-000021000000}"/>
    <cellStyle name="Normal 2 11 4" xfId="126" xr:uid="{00000000-0005-0000-0000-000022000000}"/>
    <cellStyle name="Normal 2 11 5" xfId="212" xr:uid="{00000000-0005-0000-0000-000023000000}"/>
    <cellStyle name="Normal 2 11 5 2" xfId="331" xr:uid="{89738E13-91EB-4011-9D50-748E1CA64B94}"/>
    <cellStyle name="Normal 2 11 6" xfId="99" xr:uid="{00000000-0005-0000-0000-000024000000}"/>
    <cellStyle name="Normal 2 11 6 2" xfId="313" xr:uid="{6803218F-76CF-4559-A1A2-550598FEA138}"/>
    <cellStyle name="Normal 2 11 7" xfId="258" xr:uid="{296793A2-D1FC-44D2-851F-DD5EB7E3CCC1}"/>
    <cellStyle name="Normal 2 11 8" xfId="219" xr:uid="{D1EA08D6-D122-4798-9B4F-53CE3A66B123}"/>
    <cellStyle name="Normal 2 11 8 2" xfId="336" xr:uid="{295EEAC5-1A75-42F8-9D91-17BDEE50433E}"/>
    <cellStyle name="Normal 2 11 9" xfId="222" xr:uid="{D9C88F08-D964-4AE7-9BE5-F4F3135837DC}"/>
    <cellStyle name="Normal 2 11 9 2" xfId="339" xr:uid="{EE46D1C4-5AB5-4DEE-AF2E-0504C697CFFB}"/>
    <cellStyle name="Normal 2 12" xfId="46" xr:uid="{00000000-0005-0000-0000-000025000000}"/>
    <cellStyle name="Normal 2 12 2" xfId="87" xr:uid="{00000000-0005-0000-0000-000026000000}"/>
    <cellStyle name="Normal 2 12 2 2" xfId="130" xr:uid="{00000000-0005-0000-0000-000027000000}"/>
    <cellStyle name="Normal 2 12 2 3" xfId="301" xr:uid="{4F018BF6-BB80-44DE-BE26-898FF3A58FC4}"/>
    <cellStyle name="Normal 2 12 3" xfId="129" xr:uid="{00000000-0005-0000-0000-000028000000}"/>
    <cellStyle name="Normal 2 12 4" xfId="262" xr:uid="{86207E30-5532-41AC-AC0D-77C7F256E5CD}"/>
    <cellStyle name="Normal 2 13" xfId="51" xr:uid="{00000000-0005-0000-0000-000029000000}"/>
    <cellStyle name="Normal 2 13 2" xfId="131" xr:uid="{00000000-0005-0000-0000-00002A000000}"/>
    <cellStyle name="Normal 2 13 3" xfId="265" xr:uid="{09ADCBDA-9759-47C5-AA0E-41ABA3EFDDAA}"/>
    <cellStyle name="Normal 2 14" xfId="49" xr:uid="{00000000-0005-0000-0000-00002B000000}"/>
    <cellStyle name="Normal 2 14 2" xfId="114" xr:uid="{00000000-0005-0000-0000-00002C000000}"/>
    <cellStyle name="Normal 2 14 3" xfId="264" xr:uid="{22312C1E-4574-4A94-972A-4802CBABE6C5}"/>
    <cellStyle name="Normal 2 15" xfId="132" xr:uid="{00000000-0005-0000-0000-00002D000000}"/>
    <cellStyle name="Normal 2 16" xfId="119" xr:uid="{00000000-0005-0000-0000-00002E000000}"/>
    <cellStyle name="Normal 2 17" xfId="203" xr:uid="{00000000-0005-0000-0000-00002F000000}"/>
    <cellStyle name="Normal 2 17 2" xfId="322" xr:uid="{CBE09F90-A0EF-477D-88DB-397E183911EA}"/>
    <cellStyle name="Normal 2 18" xfId="89" xr:uid="{00000000-0005-0000-0000-000030000000}"/>
    <cellStyle name="Normal 2 18 2" xfId="303" xr:uid="{FBDB3DDD-30BB-4EC9-A9F3-C80B58E16428}"/>
    <cellStyle name="Normal 2 19" xfId="226" xr:uid="{68D19407-2CED-4A72-A739-4F4706A83192}"/>
    <cellStyle name="Normal 2 2" xfId="7" xr:uid="{00000000-0005-0000-0000-000031000000}"/>
    <cellStyle name="Normal 2 2 10" xfId="43" xr:uid="{00000000-0005-0000-0000-000032000000}"/>
    <cellStyle name="Normal 2 2 10 2" xfId="84" xr:uid="{00000000-0005-0000-0000-000033000000}"/>
    <cellStyle name="Normal 2 2 10 2 2" xfId="135" xr:uid="{00000000-0005-0000-0000-000034000000}"/>
    <cellStyle name="Normal 2 2 10 2 3" xfId="298" xr:uid="{0A78A938-4117-4656-AB4A-FA65BE4E1BEE}"/>
    <cellStyle name="Normal 2 2 10 3" xfId="134" xr:uid="{00000000-0005-0000-0000-000035000000}"/>
    <cellStyle name="Normal 2 2 10 4" xfId="259" xr:uid="{64004524-EF67-4D4B-8304-0290DAA3479C}"/>
    <cellStyle name="Normal 2 2 11" xfId="45" xr:uid="{00000000-0005-0000-0000-000036000000}"/>
    <cellStyle name="Normal 2 2 11 2" xfId="86" xr:uid="{00000000-0005-0000-0000-000037000000}"/>
    <cellStyle name="Normal 2 2 11 2 2" xfId="137" xr:uid="{00000000-0005-0000-0000-000038000000}"/>
    <cellStyle name="Normal 2 2 11 2 3" xfId="300" xr:uid="{4CE8B4D1-4FE3-435A-A9C7-006C9FE51040}"/>
    <cellStyle name="Normal 2 2 11 3" xfId="136" xr:uid="{00000000-0005-0000-0000-000039000000}"/>
    <cellStyle name="Normal 2 2 11 4" xfId="261" xr:uid="{44EC8A9C-F4B5-407A-A0C7-E17C416B9810}"/>
    <cellStyle name="Normal 2 2 12" xfId="53" xr:uid="{00000000-0005-0000-0000-00003A000000}"/>
    <cellStyle name="Normal 2 2 12 2" xfId="138" xr:uid="{00000000-0005-0000-0000-00003B000000}"/>
    <cellStyle name="Normal 2 2 12 3" xfId="267" xr:uid="{AC0FD0CA-FAFC-416E-A505-AC5DA0D8D761}"/>
    <cellStyle name="Normal 2 2 13" xfId="139" xr:uid="{00000000-0005-0000-0000-00003C000000}"/>
    <cellStyle name="Normal 2 2 14" xfId="133" xr:uid="{00000000-0005-0000-0000-00003D000000}"/>
    <cellStyle name="Normal 2 2 15" xfId="204" xr:uid="{00000000-0005-0000-0000-00003E000000}"/>
    <cellStyle name="Normal 2 2 15 2" xfId="323" xr:uid="{7DDB482C-3D91-45E7-95A8-77AD01401B8B}"/>
    <cellStyle name="Normal 2 2 16" xfId="90" xr:uid="{00000000-0005-0000-0000-00003F000000}"/>
    <cellStyle name="Normal 2 2 16 2" xfId="304" xr:uid="{129FD2E1-223E-4EB9-A613-C075F190D949}"/>
    <cellStyle name="Normal 2 2 17" xfId="228" xr:uid="{BA945AE1-5D1D-40C6-8E9F-7D6B19F504AE}"/>
    <cellStyle name="Normal 2 2 2" xfId="9" xr:uid="{00000000-0005-0000-0000-000040000000}"/>
    <cellStyle name="Normal 2 2 2 2" xfId="55" xr:uid="{00000000-0005-0000-0000-000041000000}"/>
    <cellStyle name="Normal 2 2 2 2 2" xfId="141" xr:uid="{00000000-0005-0000-0000-000042000000}"/>
    <cellStyle name="Normal 2 2 2 2 3" xfId="269" xr:uid="{47A8916F-0707-464A-89E9-05158B9A90F8}"/>
    <cellStyle name="Normal 2 2 2 3" xfId="142" xr:uid="{00000000-0005-0000-0000-000043000000}"/>
    <cellStyle name="Normal 2 2 2 4" xfId="140" xr:uid="{00000000-0005-0000-0000-000044000000}"/>
    <cellStyle name="Normal 2 2 2 5" xfId="215" xr:uid="{00000000-0005-0000-0000-000045000000}"/>
    <cellStyle name="Normal 2 2 2 5 2" xfId="334" xr:uid="{BAD68C1E-FB5C-471A-94FF-56FD8AD24D5E}"/>
    <cellStyle name="Normal 2 2 2 6" xfId="102" xr:uid="{00000000-0005-0000-0000-000046000000}"/>
    <cellStyle name="Normal 2 2 2 6 2" xfId="316" xr:uid="{8ADB939F-7D04-478D-BCA9-1BBD7A1DAFD4}"/>
    <cellStyle name="Normal 2 2 2 7" xfId="230" xr:uid="{E663E0FB-7A14-4B40-B56B-2443E380DAAC}"/>
    <cellStyle name="Normal 2 2 3" xfId="14" xr:uid="{00000000-0005-0000-0000-000047000000}"/>
    <cellStyle name="Normal 2 2 3 2" xfId="33" xr:uid="{00000000-0005-0000-0000-000048000000}"/>
    <cellStyle name="Normal 2 2 3 2 2" xfId="74" xr:uid="{00000000-0005-0000-0000-000049000000}"/>
    <cellStyle name="Normal 2 2 3 2 2 2" xfId="145" xr:uid="{00000000-0005-0000-0000-00004A000000}"/>
    <cellStyle name="Normal 2 2 3 2 2 3" xfId="288" xr:uid="{B3101B8E-FD7C-4225-90AE-B9CB7E62ED80}"/>
    <cellStyle name="Normal 2 2 3 2 3" xfId="144" xr:uid="{00000000-0005-0000-0000-00004B000000}"/>
    <cellStyle name="Normal 2 2 3 2 4" xfId="249" xr:uid="{BB5817F5-BB16-424E-9B43-057E25F2BB03}"/>
    <cellStyle name="Normal 2 2 3 3" xfId="59" xr:uid="{00000000-0005-0000-0000-00004C000000}"/>
    <cellStyle name="Normal 2 2 3 3 2" xfId="146" xr:uid="{00000000-0005-0000-0000-00004D000000}"/>
    <cellStyle name="Normal 2 2 3 3 3" xfId="273" xr:uid="{2553D315-334B-4437-A183-11749C7BF39F}"/>
    <cellStyle name="Normal 2 2 3 4" xfId="147" xr:uid="{00000000-0005-0000-0000-00004E000000}"/>
    <cellStyle name="Normal 2 2 3 5" xfId="143" xr:uid="{00000000-0005-0000-0000-00004F000000}"/>
    <cellStyle name="Normal 2 2 3 6" xfId="207" xr:uid="{00000000-0005-0000-0000-000050000000}"/>
    <cellStyle name="Normal 2 2 3 6 2" xfId="326" xr:uid="{2C24A75F-14CA-4342-AAF3-64034CEE3545}"/>
    <cellStyle name="Normal 2 2 3 7" xfId="94" xr:uid="{00000000-0005-0000-0000-000051000000}"/>
    <cellStyle name="Normal 2 2 3 7 2" xfId="308" xr:uid="{0FCD2CD6-9544-458C-BA31-159CE1C081D3}"/>
    <cellStyle name="Normal 2 2 3 8" xfId="234" xr:uid="{053A8943-0975-4F71-91C1-A53E87E894B4}"/>
    <cellStyle name="Normal 2 2 4" xfId="16" xr:uid="{00000000-0005-0000-0000-000052000000}"/>
    <cellStyle name="Normal 2 2 4 2" xfId="61" xr:uid="{00000000-0005-0000-0000-000053000000}"/>
    <cellStyle name="Normal 2 2 4 2 2" xfId="149" xr:uid="{00000000-0005-0000-0000-000054000000}"/>
    <cellStyle name="Normal 2 2 4 2 3" xfId="275" xr:uid="{D870A0F3-FB64-4AE9-9625-CA34B212FB5F}"/>
    <cellStyle name="Normal 2 2 4 3" xfId="148" xr:uid="{00000000-0005-0000-0000-000055000000}"/>
    <cellStyle name="Normal 2 2 4 4" xfId="236" xr:uid="{D0D82ED3-9206-4A08-A3A5-CD88F7A7336C}"/>
    <cellStyle name="Normal 2 2 5" xfId="18" xr:uid="{00000000-0005-0000-0000-000056000000}"/>
    <cellStyle name="Normal 2 2 5 2" xfId="31" xr:uid="{00000000-0005-0000-0000-000057000000}"/>
    <cellStyle name="Normal 2 2 5 2 2" xfId="72" xr:uid="{00000000-0005-0000-0000-000058000000}"/>
    <cellStyle name="Normal 2 2 5 2 2 2" xfId="152" xr:uid="{00000000-0005-0000-0000-000059000000}"/>
    <cellStyle name="Normal 2 2 5 2 2 3" xfId="286" xr:uid="{271633FE-FF74-4A35-8040-1E4ED2374C68}"/>
    <cellStyle name="Normal 2 2 5 2 3" xfId="151" xr:uid="{00000000-0005-0000-0000-00005A000000}"/>
    <cellStyle name="Normal 2 2 5 2 4" xfId="247" xr:uid="{C098E3B3-1B90-49DD-BD67-26C2FA034ED7}"/>
    <cellStyle name="Normal 2 2 5 3" xfId="63" xr:uid="{00000000-0005-0000-0000-00005B000000}"/>
    <cellStyle name="Normal 2 2 5 3 2" xfId="153" xr:uid="{00000000-0005-0000-0000-00005C000000}"/>
    <cellStyle name="Normal 2 2 5 3 3" xfId="277" xr:uid="{6D869250-835A-456D-A037-89B99B757241}"/>
    <cellStyle name="Normal 2 2 5 4" xfId="154" xr:uid="{00000000-0005-0000-0000-00005D000000}"/>
    <cellStyle name="Normal 2 2 5 5" xfId="150" xr:uid="{00000000-0005-0000-0000-00005E000000}"/>
    <cellStyle name="Normal 2 2 5 6" xfId="205" xr:uid="{00000000-0005-0000-0000-00005F000000}"/>
    <cellStyle name="Normal 2 2 5 6 2" xfId="324" xr:uid="{EB388A19-9789-4D92-913E-77B6C23CA710}"/>
    <cellStyle name="Normal 2 2 5 7" xfId="92" xr:uid="{00000000-0005-0000-0000-000060000000}"/>
    <cellStyle name="Normal 2 2 5 7 2" xfId="306" xr:uid="{2F6C4D17-4252-4561-808A-7179DE180487}"/>
    <cellStyle name="Normal 2 2 5 8" xfId="238" xr:uid="{2A432E98-0E2B-421B-9006-0F4E79BFCB0B}"/>
    <cellStyle name="Normal 2 2 6" xfId="20" xr:uid="{00000000-0005-0000-0000-000061000000}"/>
    <cellStyle name="Normal 2 2 6 2" xfId="35" xr:uid="{00000000-0005-0000-0000-000062000000}"/>
    <cellStyle name="Normal 2 2 6 2 2" xfId="76" xr:uid="{00000000-0005-0000-0000-000063000000}"/>
    <cellStyle name="Normal 2 2 6 2 2 2" xfId="157" xr:uid="{00000000-0005-0000-0000-000064000000}"/>
    <cellStyle name="Normal 2 2 6 2 2 3" xfId="290" xr:uid="{361B3100-4815-4934-A325-03CCE29D7F97}"/>
    <cellStyle name="Normal 2 2 6 2 3" xfId="156" xr:uid="{00000000-0005-0000-0000-000065000000}"/>
    <cellStyle name="Normal 2 2 6 2 4" xfId="251" xr:uid="{D550A9DF-03E5-46BF-91C5-39926BC0E489}"/>
    <cellStyle name="Normal 2 2 6 3" xfId="65" xr:uid="{00000000-0005-0000-0000-000066000000}"/>
    <cellStyle name="Normal 2 2 6 3 2" xfId="158" xr:uid="{00000000-0005-0000-0000-000067000000}"/>
    <cellStyle name="Normal 2 2 6 3 3" xfId="279" xr:uid="{EB8FD717-E1C0-471E-A946-8FC1F343462F}"/>
    <cellStyle name="Normal 2 2 6 4" xfId="159" xr:uid="{00000000-0005-0000-0000-000068000000}"/>
    <cellStyle name="Normal 2 2 6 5" xfId="155" xr:uid="{00000000-0005-0000-0000-000069000000}"/>
    <cellStyle name="Normal 2 2 6 6" xfId="208" xr:uid="{00000000-0005-0000-0000-00006A000000}"/>
    <cellStyle name="Normal 2 2 6 6 2" xfId="327" xr:uid="{17B9A432-3719-45E9-87F4-40481CED5E14}"/>
    <cellStyle name="Normal 2 2 6 7" xfId="95" xr:uid="{00000000-0005-0000-0000-00006B000000}"/>
    <cellStyle name="Normal 2 2 6 7 2" xfId="309" xr:uid="{EC4BAC6E-C115-4E48-8EAE-4C3D7A167E49}"/>
    <cellStyle name="Normal 2 2 6 8" xfId="240" xr:uid="{4A5712F2-E824-49DF-B49C-1773A868A736}"/>
    <cellStyle name="Normal 2 2 7" xfId="25" xr:uid="{00000000-0005-0000-0000-00006C000000}"/>
    <cellStyle name="Normal 2 2 7 2" xfId="68" xr:uid="{00000000-0005-0000-0000-00006D000000}"/>
    <cellStyle name="Normal 2 2 7 2 2" xfId="160" xr:uid="{00000000-0005-0000-0000-00006E000000}"/>
    <cellStyle name="Normal 2 2 7 2 3" xfId="282" xr:uid="{11053DD6-FD7B-493B-93BD-680465441896}"/>
    <cellStyle name="Normal 2 2 7 3" xfId="107" xr:uid="{00000000-0005-0000-0000-00006F000000}"/>
    <cellStyle name="Normal 2 2 7 4" xfId="243" xr:uid="{B97876EB-6BA1-4F0E-A172-C7576B4B544B}"/>
    <cellStyle name="Normal 2 2 8" xfId="38" xr:uid="{00000000-0005-0000-0000-000070000000}"/>
    <cellStyle name="Normal 2 2 8 2" xfId="79" xr:uid="{00000000-0005-0000-0000-000071000000}"/>
    <cellStyle name="Normal 2 2 8 2 2" xfId="162" xr:uid="{00000000-0005-0000-0000-000072000000}"/>
    <cellStyle name="Normal 2 2 8 2 3" xfId="293" xr:uid="{17BA12C3-74DA-4B73-AFD5-AE0D11AD3A28}"/>
    <cellStyle name="Normal 2 2 8 3" xfId="161" xr:uid="{00000000-0005-0000-0000-000073000000}"/>
    <cellStyle name="Normal 2 2 8 4" xfId="254" xr:uid="{B37C9B76-9D30-49DE-AFF4-A868D5BD97E7}"/>
    <cellStyle name="Normal 2 2 9" xfId="40" xr:uid="{00000000-0005-0000-0000-000074000000}"/>
    <cellStyle name="Normal 2 2 9 2" xfId="81" xr:uid="{00000000-0005-0000-0000-000075000000}"/>
    <cellStyle name="Normal 2 2 9 2 2" xfId="164" xr:uid="{00000000-0005-0000-0000-000076000000}"/>
    <cellStyle name="Normal 2 2 9 2 3" xfId="295" xr:uid="{801D670A-0015-4B4E-BB41-CF64CD754461}"/>
    <cellStyle name="Normal 2 2 9 3" xfId="163" xr:uid="{00000000-0005-0000-0000-000077000000}"/>
    <cellStyle name="Normal 2 2 9 4" xfId="256" xr:uid="{BEE1EE22-6F78-406F-A872-15B6DD84EE76}"/>
    <cellStyle name="Normal 2 20" xfId="342" xr:uid="{F2D655BE-8861-48C5-AB5C-CC5C70159399}"/>
    <cellStyle name="Normal 2 21" xfId="223" xr:uid="{C8EC95A1-B55E-4BD5-B44A-8FBDC917C7FA}"/>
    <cellStyle name="Normal 2 21 2" xfId="340" xr:uid="{566A821A-4155-4011-B9D4-4A0193CF1DE7}"/>
    <cellStyle name="Normal 2 3" xfId="13" xr:uid="{00000000-0005-0000-0000-000078000000}"/>
    <cellStyle name="Normal 2 3 2" xfId="37" xr:uid="{00000000-0005-0000-0000-000079000000}"/>
    <cellStyle name="Normal 2 3 2 2" xfId="78" xr:uid="{00000000-0005-0000-0000-00007A000000}"/>
    <cellStyle name="Normal 2 3 2 2 2" xfId="116" xr:uid="{00000000-0005-0000-0000-00007B000000}"/>
    <cellStyle name="Normal 2 3 2 2 3" xfId="292" xr:uid="{2B32F77E-EE53-4B64-8FD9-814C1D7F32BB}"/>
    <cellStyle name="Normal 2 3 2 3" xfId="166" xr:uid="{00000000-0005-0000-0000-00007C000000}"/>
    <cellStyle name="Normal 2 3 2 4" xfId="253" xr:uid="{F8662FB7-E3CF-48FE-B788-7288B777FBB1}"/>
    <cellStyle name="Normal 2 3 3" xfId="58" xr:uid="{00000000-0005-0000-0000-00007D000000}"/>
    <cellStyle name="Normal 2 3 3 2" xfId="167" xr:uid="{00000000-0005-0000-0000-00007E000000}"/>
    <cellStyle name="Normal 2 3 3 3" xfId="272" xr:uid="{F75FC8B6-7E00-4082-B3FC-597908BFD463}"/>
    <cellStyle name="Normal 2 3 4" xfId="168" xr:uid="{00000000-0005-0000-0000-00007F000000}"/>
    <cellStyle name="Normal 2 3 5" xfId="165" xr:uid="{00000000-0005-0000-0000-000080000000}"/>
    <cellStyle name="Normal 2 3 6" xfId="216" xr:uid="{00000000-0005-0000-0000-000081000000}"/>
    <cellStyle name="Normal 2 3 6 2" xfId="335" xr:uid="{54649A60-6327-4EDB-A7C0-1D28A7B1E3BA}"/>
    <cellStyle name="Normal 2 3 7" xfId="103" xr:uid="{00000000-0005-0000-0000-000082000000}"/>
    <cellStyle name="Normal 2 3 7 2" xfId="317" xr:uid="{997D6981-CA28-449A-B753-09621F6CC060}"/>
    <cellStyle name="Normal 2 3 8" xfId="233" xr:uid="{F4E9736C-24A6-418F-9DC8-3EB9E5F15BEF}"/>
    <cellStyle name="Normal 2 4" xfId="15" xr:uid="{00000000-0005-0000-0000-000083000000}"/>
    <cellStyle name="Normal 2 4 2" xfId="34" xr:uid="{00000000-0005-0000-0000-000084000000}"/>
    <cellStyle name="Normal 2 4 2 2" xfId="75" xr:uid="{00000000-0005-0000-0000-000085000000}"/>
    <cellStyle name="Normal 2 4 2 2 2" xfId="171" xr:uid="{00000000-0005-0000-0000-000086000000}"/>
    <cellStyle name="Normal 2 4 2 2 3" xfId="289" xr:uid="{C6CD0182-C3D5-4947-9D91-1D4E8367C40C}"/>
    <cellStyle name="Normal 2 4 2 3" xfId="170" xr:uid="{00000000-0005-0000-0000-000087000000}"/>
    <cellStyle name="Normal 2 4 2 4" xfId="250" xr:uid="{A8BA159D-55A0-423A-9122-437F07A20A74}"/>
    <cellStyle name="Normal 2 4 3" xfId="60" xr:uid="{00000000-0005-0000-0000-000088000000}"/>
    <cellStyle name="Normal 2 4 3 2" xfId="117" xr:uid="{00000000-0005-0000-0000-000089000000}"/>
    <cellStyle name="Normal 2 4 3 3" xfId="274" xr:uid="{16403C02-FB98-4D48-B6FA-4E1E4E0E8C78}"/>
    <cellStyle name="Normal 2 4 4" xfId="115" xr:uid="{00000000-0005-0000-0000-00008A000000}"/>
    <cellStyle name="Normal 2 4 5" xfId="169" xr:uid="{00000000-0005-0000-0000-00008B000000}"/>
    <cellStyle name="Normal 2 4 6" xfId="209" xr:uid="{00000000-0005-0000-0000-00008C000000}"/>
    <cellStyle name="Normal 2 4 6 2" xfId="328" xr:uid="{90B1A276-512C-4FBA-909D-1CB001F17791}"/>
    <cellStyle name="Normal 2 4 7" xfId="96" xr:uid="{00000000-0005-0000-0000-00008D000000}"/>
    <cellStyle name="Normal 2 4 7 2" xfId="310" xr:uid="{C8AD9723-96FB-43AF-98B1-A0514BFEECD5}"/>
    <cellStyle name="Normal 2 4 8" xfId="235" xr:uid="{59E5354D-2D03-49DA-8DDA-912D23796C82}"/>
    <cellStyle name="Normal 2 5" xfId="19" xr:uid="{00000000-0005-0000-0000-00008E000000}"/>
    <cellStyle name="Normal 2 5 2" xfId="64" xr:uid="{00000000-0005-0000-0000-00008F000000}"/>
    <cellStyle name="Normal 2 5 2 2" xfId="173" xr:uid="{00000000-0005-0000-0000-000090000000}"/>
    <cellStyle name="Normal 2 5 2 3" xfId="278" xr:uid="{AA68654C-D66D-4110-8D2F-4CA2253A4394}"/>
    <cellStyle name="Normal 2 5 3" xfId="172" xr:uid="{00000000-0005-0000-0000-000091000000}"/>
    <cellStyle name="Normal 2 5 4" xfId="239" xr:uid="{82EF3AA1-E8BD-4A7F-84C1-435D379ACF98}"/>
    <cellStyle name="Normal 2 6" xfId="21" xr:uid="{00000000-0005-0000-0000-000092000000}"/>
    <cellStyle name="Normal 2 6 2" xfId="66" xr:uid="{00000000-0005-0000-0000-000093000000}"/>
    <cellStyle name="Normal 2 6 2 2" xfId="175" xr:uid="{00000000-0005-0000-0000-000094000000}"/>
    <cellStyle name="Normal 2 6 2 3" xfId="280" xr:uid="{AD9A84B5-0474-4E66-BC5F-86B45AE80704}"/>
    <cellStyle name="Normal 2 6 3" xfId="174" xr:uid="{00000000-0005-0000-0000-000095000000}"/>
    <cellStyle name="Normal 2 6 4" xfId="241" xr:uid="{6B436EB0-3CBD-4CEA-BDEA-C9BFB79F6036}"/>
    <cellStyle name="Normal 2 7" xfId="23" xr:uid="{00000000-0005-0000-0000-000096000000}"/>
    <cellStyle name="Normal 2 7 2" xfId="105" xr:uid="{00000000-0005-0000-0000-000097000000}"/>
    <cellStyle name="Normal 2 8" xfId="24" xr:uid="{00000000-0005-0000-0000-000098000000}"/>
    <cellStyle name="Normal 2 8 2" xfId="36" xr:uid="{00000000-0005-0000-0000-000099000000}"/>
    <cellStyle name="Normal 2 8 2 2" xfId="77" xr:uid="{00000000-0005-0000-0000-00009A000000}"/>
    <cellStyle name="Normal 2 8 2 2 2" xfId="178" xr:uid="{00000000-0005-0000-0000-00009B000000}"/>
    <cellStyle name="Normal 2 8 2 2 3" xfId="291" xr:uid="{62004982-2C17-4096-B26E-04C4E0B7A0B4}"/>
    <cellStyle name="Normal 2 8 2 3" xfId="177" xr:uid="{00000000-0005-0000-0000-00009C000000}"/>
    <cellStyle name="Normal 2 8 2 4" xfId="252" xr:uid="{15A46C81-8662-4C86-B2A0-286F1804648D}"/>
    <cellStyle name="Normal 2 8 3" xfId="67" xr:uid="{00000000-0005-0000-0000-00009D000000}"/>
    <cellStyle name="Normal 2 8 3 2" xfId="179" xr:uid="{00000000-0005-0000-0000-00009E000000}"/>
    <cellStyle name="Normal 2 8 3 3" xfId="281" xr:uid="{2244F7D4-9BB7-4B8B-AD03-78B601E64EC6}"/>
    <cellStyle name="Normal 2 8 4" xfId="180" xr:uid="{00000000-0005-0000-0000-00009F000000}"/>
    <cellStyle name="Normal 2 8 5" xfId="176" xr:uid="{00000000-0005-0000-0000-0000A0000000}"/>
    <cellStyle name="Normal 2 8 6" xfId="210" xr:uid="{00000000-0005-0000-0000-0000A1000000}"/>
    <cellStyle name="Normal 2 8 6 2" xfId="329" xr:uid="{D62BD158-BCC0-4BD3-A650-88351BD1CD73}"/>
    <cellStyle name="Normal 2 8 7" xfId="97" xr:uid="{00000000-0005-0000-0000-0000A2000000}"/>
    <cellStyle name="Normal 2 8 7 2" xfId="311" xr:uid="{DE50F1B1-F5F2-4548-9D8F-3CB92CC636C2}"/>
    <cellStyle name="Normal 2 8 8" xfId="242" xr:uid="{391B56E4-D100-496E-B01E-B78E491E2B18}"/>
    <cellStyle name="Normal 2 9" xfId="30" xr:uid="{00000000-0005-0000-0000-0000A3000000}"/>
    <cellStyle name="Normal 2 9 2" xfId="71" xr:uid="{00000000-0005-0000-0000-0000A4000000}"/>
    <cellStyle name="Normal 2 9 2 2" xfId="182" xr:uid="{00000000-0005-0000-0000-0000A5000000}"/>
    <cellStyle name="Normal 2 9 2 3" xfId="285" xr:uid="{EEEF1436-B9D0-4DE1-BD8C-4BE4EFD5F060}"/>
    <cellStyle name="Normal 2 9 3" xfId="181" xr:uid="{00000000-0005-0000-0000-0000A6000000}"/>
    <cellStyle name="Normal 2 9 4" xfId="246" xr:uid="{82096F9B-DD3F-44EA-B313-E2B82EE956CC}"/>
    <cellStyle name="Normal 3" xfId="10" xr:uid="{00000000-0005-0000-0000-0000A7000000}"/>
    <cellStyle name="Normal 3 2" xfId="183" xr:uid="{00000000-0005-0000-0000-0000A8000000}"/>
    <cellStyle name="Normal 3 3" xfId="91" xr:uid="{00000000-0005-0000-0000-0000A9000000}"/>
    <cellStyle name="Normal 3 3 2" xfId="305" xr:uid="{C61F8D06-2A10-4AF5-B27E-9C0AC1C76403}"/>
    <cellStyle name="Normal 4" xfId="17" xr:uid="{00000000-0005-0000-0000-0000AA000000}"/>
    <cellStyle name="Normal 4 2" xfId="32" xr:uid="{00000000-0005-0000-0000-0000AB000000}"/>
    <cellStyle name="Normal 4 2 2" xfId="73" xr:uid="{00000000-0005-0000-0000-0000AC000000}"/>
    <cellStyle name="Normal 4 2 2 2" xfId="186" xr:uid="{00000000-0005-0000-0000-0000AD000000}"/>
    <cellStyle name="Normal 4 2 2 3" xfId="287" xr:uid="{028C74BD-39FB-418C-AC08-86F2A23B9ABC}"/>
    <cellStyle name="Normal 4 2 3" xfId="185" xr:uid="{00000000-0005-0000-0000-0000AE000000}"/>
    <cellStyle name="Normal 4 2 4" xfId="248" xr:uid="{49628762-ECDB-4A13-91E6-7DF46D4D665E}"/>
    <cellStyle name="Normal 4 3" xfId="29" xr:uid="{00000000-0005-0000-0000-0000AF000000}"/>
    <cellStyle name="Normal 4 3 2" xfId="187" xr:uid="{00000000-0005-0000-0000-0000B0000000}"/>
    <cellStyle name="Normal 4 4" xfId="62" xr:uid="{00000000-0005-0000-0000-0000B1000000}"/>
    <cellStyle name="Normal 4 4 2" xfId="188" xr:uid="{00000000-0005-0000-0000-0000B2000000}"/>
    <cellStyle name="Normal 4 4 3" xfId="276" xr:uid="{6DAC9152-94B6-44DC-9B2D-899CFACB0A75}"/>
    <cellStyle name="Normal 4 5" xfId="189" xr:uid="{00000000-0005-0000-0000-0000B3000000}"/>
    <cellStyle name="Normal 4 6" xfId="184" xr:uid="{00000000-0005-0000-0000-0000B4000000}"/>
    <cellStyle name="Normal 4 7" xfId="206" xr:uid="{00000000-0005-0000-0000-0000B5000000}"/>
    <cellStyle name="Normal 4 7 2" xfId="325" xr:uid="{5BD1FF75-3219-472A-99B8-EF607E7E2888}"/>
    <cellStyle name="Normal 4 8" xfId="93" xr:uid="{00000000-0005-0000-0000-0000B6000000}"/>
    <cellStyle name="Normal 4 8 2" xfId="307" xr:uid="{1DC820B2-F4BC-4BC3-A1AF-C2AE19144EBE}"/>
    <cellStyle name="Normal 4 9" xfId="237" xr:uid="{5ECB24E0-AD24-46E2-B17B-F5F48DFAFF9E}"/>
    <cellStyle name="Normal 5" xfId="22" xr:uid="{00000000-0005-0000-0000-0000B7000000}"/>
    <cellStyle name="Normal 5 2" xfId="88" xr:uid="{00000000-0005-0000-0000-0000B8000000}"/>
    <cellStyle name="Normal 5 2 2" xfId="191" xr:uid="{00000000-0005-0000-0000-0000B9000000}"/>
    <cellStyle name="Normal 5 2 3" xfId="302" xr:uid="{23F79928-D0AC-48F4-BEE1-94369D94159B}"/>
    <cellStyle name="Normal 5 3" xfId="190" xr:uid="{00000000-0005-0000-0000-0000BA000000}"/>
    <cellStyle name="Normal 5 4" xfId="214" xr:uid="{00000000-0005-0000-0000-0000BB000000}"/>
    <cellStyle name="Normal 5 4 2" xfId="333" xr:uid="{A40D4F27-6E12-48C8-9442-E76845C0B6EE}"/>
    <cellStyle name="Normal 5 5" xfId="101" xr:uid="{00000000-0005-0000-0000-0000BC000000}"/>
    <cellStyle name="Normal 5 5 2" xfId="315" xr:uid="{BBFD1137-2D01-4F7B-90D7-2F95BD48233D}"/>
    <cellStyle name="Normal 5 7" xfId="221" xr:uid="{DD744FDE-82AB-4EAB-8A7D-A8158032E435}"/>
    <cellStyle name="Normal 5 7 2" xfId="338" xr:uid="{050FF8D2-08A2-4D52-AB5F-E42A153C7DE6}"/>
    <cellStyle name="Normal 6" xfId="27" xr:uid="{00000000-0005-0000-0000-0000BD000000}"/>
    <cellStyle name="Normal 6 2" xfId="69" xr:uid="{00000000-0005-0000-0000-0000BE000000}"/>
    <cellStyle name="Normal 6 2 2" xfId="193" xr:uid="{00000000-0005-0000-0000-0000BF000000}"/>
    <cellStyle name="Normal 6 2 3" xfId="283" xr:uid="{D77806B7-73DE-40E8-BDAF-1AD0DA8E39E8}"/>
    <cellStyle name="Normal 6 3" xfId="192" xr:uid="{00000000-0005-0000-0000-0000C0000000}"/>
    <cellStyle name="Normal 6 4" xfId="244" xr:uid="{C5D1B747-C27C-4F6A-B5B6-5ECB6E6A1CF4}"/>
    <cellStyle name="Normal 7" xfId="44" xr:uid="{00000000-0005-0000-0000-0000C1000000}"/>
    <cellStyle name="Normal 7 2" xfId="85" xr:uid="{00000000-0005-0000-0000-0000C2000000}"/>
    <cellStyle name="Normal 7 2 2" xfId="104" xr:uid="{00000000-0005-0000-0000-0000C3000000}"/>
    <cellStyle name="Normal 7 2 3" xfId="299" xr:uid="{F7525C40-645D-49F0-9E34-05BEE42239A9}"/>
    <cellStyle name="Normal 7 3" xfId="195" xr:uid="{00000000-0005-0000-0000-0000C4000000}"/>
    <cellStyle name="Normal 7 4" xfId="194" xr:uid="{00000000-0005-0000-0000-0000C5000000}"/>
    <cellStyle name="Normal 7 5" xfId="213" xr:uid="{00000000-0005-0000-0000-0000C6000000}"/>
    <cellStyle name="Normal 7 5 2" xfId="332" xr:uid="{3EA9E308-AD7B-4331-9D42-7F1A8A129EB0}"/>
    <cellStyle name="Normal 7 6" xfId="100" xr:uid="{00000000-0005-0000-0000-0000C7000000}"/>
    <cellStyle name="Normal 7 6 2" xfId="314" xr:uid="{C3A5212F-3C6A-4090-B838-6431CAB0BC73}"/>
    <cellStyle name="Normal 7 7" xfId="260" xr:uid="{3C6F15AD-81E5-48B5-8C34-A4D11EB96D2B}"/>
    <cellStyle name="Normal 8" xfId="50" xr:uid="{00000000-0005-0000-0000-0000C8000000}"/>
    <cellStyle name="Normal 8 2" xfId="196" xr:uid="{00000000-0005-0000-0000-0000C9000000}"/>
    <cellStyle name="Normal 9" xfId="47" xr:uid="{00000000-0005-0000-0000-0000CA000000}"/>
    <cellStyle name="Normal 9 2" xfId="197" xr:uid="{00000000-0005-0000-0000-0000CB000000}"/>
    <cellStyle name="常规 2" xfId="2" xr:uid="{00000000-0005-0000-0000-0000CC000000}"/>
    <cellStyle name="常规 2 2" xfId="11" xr:uid="{00000000-0005-0000-0000-0000CD000000}"/>
    <cellStyle name="常规 2 2 2" xfId="56" xr:uid="{00000000-0005-0000-0000-0000CE000000}"/>
    <cellStyle name="常规 2 2 2 2" xfId="199" xr:uid="{00000000-0005-0000-0000-0000CF000000}"/>
    <cellStyle name="常规 2 2 2 3" xfId="270" xr:uid="{A6A641F9-9E89-46A6-BAD9-1D4CE06C5AAA}"/>
    <cellStyle name="常规 2 2 3" xfId="198" xr:uid="{00000000-0005-0000-0000-0000D0000000}"/>
    <cellStyle name="常规 2 2 4" xfId="231" xr:uid="{B9D96F65-5F4F-41BE-8A14-25D78C835AE0}"/>
    <cellStyle name="常规 2 3" xfId="41" xr:uid="{00000000-0005-0000-0000-0000D1000000}"/>
    <cellStyle name="常规 2 3 2" xfId="82" xr:uid="{00000000-0005-0000-0000-0000D2000000}"/>
    <cellStyle name="常规 2 3 2 2" xfId="201" xr:uid="{00000000-0005-0000-0000-0000D3000000}"/>
    <cellStyle name="常规 2 3 2 3" xfId="296" xr:uid="{8B6EDA06-A354-44A4-84E5-F6A7006F697D}"/>
    <cellStyle name="常规 2 3 3" xfId="200" xr:uid="{00000000-0005-0000-0000-0000D4000000}"/>
    <cellStyle name="常规 2 3 4" xfId="257" xr:uid="{330DA7F4-1F79-46FE-87D8-384ADABDD502}"/>
    <cellStyle name="常规 3" xfId="3" xr:uid="{00000000-0005-0000-0000-0000D5000000}"/>
    <cellStyle name="常规 4" xfId="6" xr:uid="{00000000-0005-0000-0000-0000D6000000}"/>
    <cellStyle name="常规 5" xfId="218" xr:uid="{00000000-0005-0000-0000-0000D7000000}"/>
    <cellStyle name="检查单元格 2" xfId="4" xr:uid="{00000000-0005-0000-0000-0000D8000000}"/>
    <cellStyle name="检查单元格 2 2" xfId="202" xr:uid="{00000000-0005-0000-0000-0000D9000000}"/>
    <cellStyle name="超链接 2" xfId="108" xr:uid="{00000000-0005-0000-0000-0000DA000000}"/>
  </cellStyles>
  <dxfs count="10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customXml" Target="../customXml/item1.xml"/><Relationship Id="rId10" Type="http://schemas.openxmlformats.org/officeDocument/2006/relationships/externalLink" Target="externalLinks/externalLink3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31750</xdr:rowOff>
        </xdr:from>
        <xdr:to>
          <xdr:col>2</xdr:col>
          <xdr:colOff>463550</xdr:colOff>
          <xdr:row>0</xdr:row>
          <xdr:rowOff>495300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VC20210199/AppData/Local/Microsoft/Windows/INetCache/Content.Outlook/94XF8ML9/Info-collect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VC20210093/AppData/Local/Microsoft/Windows/INetCache/Content.Outlook/A3RN0VUM/Info-collection%20(002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03_Registration\202202\&#32452;&#35013;\Info-collection-VASS_2022011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03_Registration\202202\&#36710;&#36523;&#36755;&#36865;\&#19978;&#28023;&#20061;&#28304;&#26207;&#33258;&#21160;&#21270;&#26377;&#38480;&#20844;&#21496;\Info-collection_JY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03_Registration\202202\&#36710;&#36523;&#36755;&#36865;\&#19981;&#33713;&#26757;&#36125;&#20811;&#65288;&#19978;&#28023;&#65289;&#24037;&#19994;&#33258;&#21160;&#21270;&#25216;&#26415;&#26377;&#38480;&#20844;&#21496;\Info-collection_&#19981;&#33713;&#26757;&#36125;&#20811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03_Registration\202202\Sinylon\Info-collection%20SYL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20.19.16\VASS-Certificate\03_Registration\202310\&#19978;&#28023;&#25463;&#24935;&#33258;&#21160;&#21270;&#35774;&#22791;&#26377;&#38480;&#20844;&#21496;\Info&#160;Collection_&#19978;&#28023;&#25463;&#24935;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5QN7KN.CN/Desktop/Info%20Collection_&#38271;&#26149;&#19975;&#20016;&#26234;&#33021;(1)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20.19.16\VASS-Certificate\03_Registration\202310\&#19978;&#28023;&#25463;&#24935;&#33258;&#21160;&#21270;&#35774;&#22791;&#26377;&#38480;&#20844;&#21496;\New%20Info&#160;Collection_&#19978;&#28023;&#25463;&#24935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20.19.16\VASS-Certificate\03_Registration\202310\&#38271;&#26149;&#24066;&#25463;&#20247;&#33258;&#21160;&#21270;&#31185;&#25216;&#26377;&#38480;&#20844;&#21496;\New-Info%20Collection_&#38271;&#26149;&#24066;&#25463;&#20247;&#33258;&#21160;&#21270;&#31185;&#25216;&#26377;&#38480;&#20844;&#21496;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20.19.16\VASS-Certificate\03_Registration\202311\Info%20Collection_VWA_202310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g."/>
      <sheetName val="Sheet1"/>
      <sheetName val="Sheet2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g."/>
      <sheetName val="Company Invoice Infor"/>
      <sheetName val="Sheet3"/>
    </sheetNames>
    <sheetDataSet>
      <sheetData sheetId="0"/>
      <sheetData sheetId="1"/>
      <sheetData sheetId="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g."/>
      <sheetName val="Company Invoice Infor"/>
      <sheetName val="Sheet3"/>
    </sheetNames>
    <sheetDataSet>
      <sheetData sheetId="0"/>
      <sheetData sheetId="1"/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g."/>
      <sheetName val="Company Invoice Infor"/>
      <sheetName val="Sheet3"/>
    </sheetNames>
    <sheetDataSet>
      <sheetData sheetId="0"/>
      <sheetData sheetId="1"/>
      <sheetData sheetId="2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g."/>
      <sheetName val="Company Invoice Infor"/>
      <sheetName val="Sheet3"/>
    </sheetNames>
    <sheetDataSet>
      <sheetData sheetId="0"/>
      <sheetData sheetId="1"/>
      <sheetData sheetId="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g."/>
      <sheetName val="Company Invoice Infor"/>
      <sheetName val="Sheet3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L52" totalsRowShown="0" headerRowDxfId="9" headerRowCellStyle="Normal 2">
  <autoFilter ref="A2:L52" xr:uid="{00000000-0009-0000-0100-000002000000}"/>
  <tableColumns count="12">
    <tableColumn id="1" xr3:uid="{00000000-0010-0000-0000-000001000000}" name="Column1"/>
    <tableColumn id="2" xr3:uid="{00000000-0010-0000-0000-000002000000}" name="Column2" dataDxfId="8" dataCellStyle="Normal 5 2"/>
    <tableColumn id="3" xr3:uid="{00000000-0010-0000-0000-000003000000}" name="Column3"/>
    <tableColumn id="4" xr3:uid="{00000000-0010-0000-0000-000004000000}" name="Column4" dataDxfId="7" dataCellStyle="Normal 5 2"/>
    <tableColumn id="5" xr3:uid="{00000000-0010-0000-0000-000005000000}" name="Column5" dataDxfId="6" dataCellStyle="Normal 5 2"/>
    <tableColumn id="6" xr3:uid="{00000000-0010-0000-0000-000006000000}" name="Column6"/>
    <tableColumn id="7" xr3:uid="{00000000-0010-0000-0000-000007000000}" name="Column7"/>
    <tableColumn id="8" xr3:uid="{00000000-0010-0000-0000-000008000000}" name="Column8" dataDxfId="5" dataCellStyle="Normal 5 2"/>
    <tableColumn id="9" xr3:uid="{00000000-0010-0000-0000-000009000000}" name="Column9" dataDxfId="4" dataCellStyle="Normal 5 2"/>
    <tableColumn id="10" xr3:uid="{00000000-0010-0000-0000-00000A000000}" name="Column10"/>
    <tableColumn id="11" xr3:uid="{00000000-0010-0000-0000-00000B000000}" name="Column11" dataDxfId="3"/>
    <tableColumn id="12" xr3:uid="{00000000-0010-0000-0000-00000C000000}" name="Column12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Fengc2118@mail.dfd.cn" TargetMode="External"/><Relationship Id="rId13" Type="http://schemas.openxmlformats.org/officeDocument/2006/relationships/hyperlink" Target="mailto:jlzh_scg@163.com" TargetMode="External"/><Relationship Id="rId18" Type="http://schemas.openxmlformats.org/officeDocument/2006/relationships/hyperlink" Target="mailto:jun.liu@cdmkac.com" TargetMode="External"/><Relationship Id="rId26" Type="http://schemas.openxmlformats.org/officeDocument/2006/relationships/hyperlink" Target="mailto:qian.mi@aft.sh.cn" TargetMode="External"/><Relationship Id="rId3" Type="http://schemas.openxmlformats.org/officeDocument/2006/relationships/hyperlink" Target="mailto:liahui@hanhao-automation.com" TargetMode="External"/><Relationship Id="rId21" Type="http://schemas.openxmlformats.org/officeDocument/2006/relationships/hyperlink" Target="mailto:yunfeng_sundy@163.com" TargetMode="External"/><Relationship Id="rId7" Type="http://schemas.openxmlformats.org/officeDocument/2006/relationships/hyperlink" Target="mailto:x.lv@frey-stoll-ln.com" TargetMode="External"/><Relationship Id="rId12" Type="http://schemas.openxmlformats.org/officeDocument/2006/relationships/hyperlink" Target="mailto:fan_hong@sinylon.com" TargetMode="External"/><Relationship Id="rId17" Type="http://schemas.openxmlformats.org/officeDocument/2006/relationships/hyperlink" Target="mailto:zhaoxiangzhong@jee-cn.com" TargetMode="External"/><Relationship Id="rId25" Type="http://schemas.openxmlformats.org/officeDocument/2006/relationships/hyperlink" Target="mailto:wangjia@jsmiracle.com" TargetMode="External"/><Relationship Id="rId2" Type="http://schemas.openxmlformats.org/officeDocument/2006/relationships/hyperlink" Target="mailto:jianguo.tang@cn.abb.com" TargetMode="External"/><Relationship Id="rId16" Type="http://schemas.openxmlformats.org/officeDocument/2006/relationships/hyperlink" Target="mailto:zhuhairui_qr@163.com" TargetMode="External"/><Relationship Id="rId20" Type="http://schemas.openxmlformats.org/officeDocument/2006/relationships/hyperlink" Target="mailto:diaoshaoyu@163.com" TargetMode="External"/><Relationship Id="rId29" Type="http://schemas.openxmlformats.org/officeDocument/2006/relationships/printerSettings" Target="../printerSettings/printerSettings2.bin"/><Relationship Id="rId1" Type="http://schemas.openxmlformats.org/officeDocument/2006/relationships/hyperlink" Target="mailto:lvlina_td@faw.com.cn" TargetMode="External"/><Relationship Id="rId6" Type="http://schemas.openxmlformats.org/officeDocument/2006/relationships/hyperlink" Target="mailto:xusiyi@sunyelltech.com" TargetMode="External"/><Relationship Id="rId11" Type="http://schemas.openxmlformats.org/officeDocument/2006/relationships/hyperlink" Target="mailto:fan_hong@sinylon.com" TargetMode="External"/><Relationship Id="rId24" Type="http://schemas.openxmlformats.org/officeDocument/2006/relationships/hyperlink" Target="mailto:chendong@yuou.mobi" TargetMode="External"/><Relationship Id="rId5" Type="http://schemas.openxmlformats.org/officeDocument/2006/relationships/hyperlink" Target="mailto:fan_hong@sinylon.com" TargetMode="External"/><Relationship Id="rId15" Type="http://schemas.openxmlformats.org/officeDocument/2006/relationships/hyperlink" Target="mailto:fan_hong@sinylon.com" TargetMode="External"/><Relationship Id="rId23" Type="http://schemas.openxmlformats.org/officeDocument/2006/relationships/hyperlink" Target="mailto:caokang@jiuyuansheng.cn" TargetMode="External"/><Relationship Id="rId28" Type="http://schemas.openxmlformats.org/officeDocument/2006/relationships/hyperlink" Target="mailto:liupengfei@bm-ks.cn" TargetMode="External"/><Relationship Id="rId10" Type="http://schemas.openxmlformats.org/officeDocument/2006/relationships/hyperlink" Target="mailto:zhaojj_td@faw.com.cn" TargetMode="External"/><Relationship Id="rId19" Type="http://schemas.openxmlformats.org/officeDocument/2006/relationships/hyperlink" Target="mailto:liang.li@wfjyjt.com" TargetMode="External"/><Relationship Id="rId4" Type="http://schemas.openxmlformats.org/officeDocument/2006/relationships/hyperlink" Target="https://www.tianyancha.com/company/1267058319" TargetMode="External"/><Relationship Id="rId9" Type="http://schemas.openxmlformats.org/officeDocument/2006/relationships/hyperlink" Target="mailto:zhuchenglin@dlautotech.com" TargetMode="External"/><Relationship Id="rId14" Type="http://schemas.openxmlformats.org/officeDocument/2006/relationships/hyperlink" Target="mailto:caifenfen@ks-bosheng.cn" TargetMode="External"/><Relationship Id="rId22" Type="http://schemas.openxmlformats.org/officeDocument/2006/relationships/hyperlink" Target="mailto:yin.zhang@cn-ifs.com" TargetMode="External"/><Relationship Id="rId27" Type="http://schemas.openxmlformats.org/officeDocument/2006/relationships/hyperlink" Target="mailto:shenxianfang@jiuyuansheng.cn" TargetMode="External"/><Relationship Id="rId30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O883"/>
  <sheetViews>
    <sheetView tabSelected="1" zoomScale="70" zoomScaleNormal="70" workbookViewId="0">
      <pane xSplit="2" ySplit="133" topLeftCell="F807" activePane="bottomRight" state="frozen"/>
      <selection pane="topRight" activeCell="C1" sqref="C1"/>
      <selection pane="bottomLeft" activeCell="A134" sqref="A134"/>
      <selection pane="bottomRight" activeCell="K815" sqref="K815"/>
    </sheetView>
  </sheetViews>
  <sheetFormatPr defaultColWidth="9.1796875" defaultRowHeight="14.5"/>
  <cols>
    <col min="1" max="2" width="12.453125" customWidth="1"/>
    <col min="3" max="3" width="20.453125" customWidth="1"/>
    <col min="4" max="4" width="27" customWidth="1"/>
    <col min="5" max="5" width="24.453125" customWidth="1"/>
    <col min="6" max="6" width="46.453125" bestFit="1" customWidth="1"/>
    <col min="7" max="7" width="52.453125" customWidth="1"/>
    <col min="8" max="8" width="27.453125" style="115" customWidth="1"/>
    <col min="9" max="9" width="30.453125" style="130" customWidth="1"/>
    <col min="10" max="10" width="8.1796875" bestFit="1" customWidth="1"/>
    <col min="11" max="11" width="35.1796875" customWidth="1"/>
    <col min="12" max="12" width="41.81640625" customWidth="1"/>
    <col min="13" max="13" width="21.453125" customWidth="1"/>
    <col min="14" max="14" width="37.453125" customWidth="1"/>
    <col min="15" max="15" width="20.453125" customWidth="1"/>
  </cols>
  <sheetData>
    <row r="1" spans="1:14" ht="28.5">
      <c r="A1" s="586" t="s">
        <v>0</v>
      </c>
      <c r="B1" s="587"/>
      <c r="C1" s="587"/>
      <c r="D1" s="587"/>
      <c r="E1" s="587"/>
      <c r="F1" s="587"/>
      <c r="G1" s="587"/>
      <c r="H1" s="587"/>
      <c r="I1" s="587"/>
      <c r="J1" s="587"/>
      <c r="K1" s="587"/>
      <c r="L1" s="587"/>
      <c r="M1" s="587"/>
      <c r="N1" s="587"/>
    </row>
    <row r="2" spans="1:14" ht="31">
      <c r="A2" s="17" t="s">
        <v>1</v>
      </c>
      <c r="B2" s="17" t="s">
        <v>2</v>
      </c>
      <c r="C2" s="17" t="s">
        <v>3</v>
      </c>
      <c r="D2" s="2" t="s">
        <v>4</v>
      </c>
      <c r="E2" s="2" t="s">
        <v>5</v>
      </c>
      <c r="F2" s="2" t="s">
        <v>6</v>
      </c>
      <c r="G2" s="17" t="s">
        <v>7</v>
      </c>
      <c r="H2" s="17" t="s">
        <v>8</v>
      </c>
      <c r="I2" s="129" t="s">
        <v>9</v>
      </c>
      <c r="J2" s="17" t="s">
        <v>10</v>
      </c>
      <c r="K2" s="181"/>
      <c r="L2" s="181"/>
      <c r="M2" s="181"/>
      <c r="N2" s="181"/>
    </row>
    <row r="3" spans="1:14" ht="17.5" hidden="1">
      <c r="A3" s="1" t="s">
        <v>11</v>
      </c>
      <c r="B3" s="1" t="s">
        <v>12</v>
      </c>
      <c r="C3" s="7" t="s">
        <v>13</v>
      </c>
      <c r="D3" s="8" t="s">
        <v>14</v>
      </c>
      <c r="E3" s="98" t="s">
        <v>15</v>
      </c>
      <c r="F3" s="98" t="s">
        <v>16</v>
      </c>
      <c r="G3" s="16" t="s">
        <v>17</v>
      </c>
      <c r="H3" s="9" t="s">
        <v>18</v>
      </c>
      <c r="I3" s="96">
        <v>43965</v>
      </c>
      <c r="J3" s="58" t="s">
        <v>19</v>
      </c>
      <c r="K3" s="181"/>
      <c r="L3" s="181"/>
      <c r="M3" s="181"/>
      <c r="N3" s="181"/>
    </row>
    <row r="4" spans="1:14" ht="17.5" hidden="1">
      <c r="A4" s="1" t="s">
        <v>20</v>
      </c>
      <c r="B4" s="1" t="s">
        <v>21</v>
      </c>
      <c r="C4" s="99" t="s">
        <v>22</v>
      </c>
      <c r="D4" s="290" t="s">
        <v>23</v>
      </c>
      <c r="E4" s="65" t="s">
        <v>24</v>
      </c>
      <c r="F4" s="98" t="s">
        <v>16</v>
      </c>
      <c r="G4" s="16" t="s">
        <v>17</v>
      </c>
      <c r="H4" s="9" t="s">
        <v>18</v>
      </c>
      <c r="I4" s="55">
        <v>43965</v>
      </c>
      <c r="J4" s="58" t="s">
        <v>19</v>
      </c>
      <c r="K4" s="181"/>
      <c r="L4" s="181"/>
      <c r="M4" s="181"/>
      <c r="N4" s="181"/>
    </row>
    <row r="5" spans="1:14" ht="17.5" hidden="1">
      <c r="A5" s="1" t="s">
        <v>25</v>
      </c>
      <c r="B5" s="1" t="s">
        <v>26</v>
      </c>
      <c r="C5" s="99" t="s">
        <v>27</v>
      </c>
      <c r="D5" s="291" t="s">
        <v>28</v>
      </c>
      <c r="E5" s="65" t="s">
        <v>29</v>
      </c>
      <c r="F5" s="98" t="s">
        <v>16</v>
      </c>
      <c r="G5" s="16" t="s">
        <v>17</v>
      </c>
      <c r="H5" s="9" t="s">
        <v>18</v>
      </c>
      <c r="I5" s="55">
        <v>43965</v>
      </c>
      <c r="J5" s="58" t="s">
        <v>19</v>
      </c>
      <c r="K5" s="181"/>
      <c r="L5" s="181"/>
      <c r="M5" s="181"/>
      <c r="N5" s="181"/>
    </row>
    <row r="6" spans="1:14" ht="17.5" hidden="1">
      <c r="A6" s="1" t="s">
        <v>30</v>
      </c>
      <c r="B6" s="1"/>
      <c r="C6" s="99" t="s">
        <v>31</v>
      </c>
      <c r="D6" s="290" t="s">
        <v>32</v>
      </c>
      <c r="E6" s="65" t="s">
        <v>33</v>
      </c>
      <c r="F6" s="98" t="s">
        <v>16</v>
      </c>
      <c r="G6" s="16" t="s">
        <v>17</v>
      </c>
      <c r="H6" s="9" t="s">
        <v>18</v>
      </c>
      <c r="I6" s="55">
        <v>43965</v>
      </c>
      <c r="J6" s="58" t="s">
        <v>19</v>
      </c>
      <c r="K6" s="181"/>
      <c r="L6" s="181"/>
      <c r="M6" s="181"/>
      <c r="N6" s="181"/>
    </row>
    <row r="7" spans="1:14" ht="15" hidden="1" customHeight="1">
      <c r="A7" s="1" t="s">
        <v>34</v>
      </c>
      <c r="B7" s="1" t="s">
        <v>35</v>
      </c>
      <c r="C7" s="99" t="s">
        <v>36</v>
      </c>
      <c r="D7" s="8" t="s">
        <v>37</v>
      </c>
      <c r="E7" s="65" t="s">
        <v>38</v>
      </c>
      <c r="F7" s="98" t="s">
        <v>16</v>
      </c>
      <c r="G7" s="16" t="s">
        <v>17</v>
      </c>
      <c r="H7" s="9" t="s">
        <v>39</v>
      </c>
      <c r="I7" s="55">
        <v>43958</v>
      </c>
      <c r="J7" s="58" t="s">
        <v>19</v>
      </c>
      <c r="K7" s="181"/>
      <c r="L7" s="181"/>
      <c r="M7" s="181"/>
      <c r="N7" s="181"/>
    </row>
    <row r="8" spans="1:14" ht="15" hidden="1" customHeight="1">
      <c r="A8" s="1" t="s">
        <v>40</v>
      </c>
      <c r="B8" s="1" t="s">
        <v>41</v>
      </c>
      <c r="C8" s="99" t="s">
        <v>42</v>
      </c>
      <c r="D8" s="8" t="s">
        <v>43</v>
      </c>
      <c r="E8" s="65" t="s">
        <v>44</v>
      </c>
      <c r="F8" s="98" t="s">
        <v>16</v>
      </c>
      <c r="G8" s="16" t="s">
        <v>17</v>
      </c>
      <c r="H8" s="9" t="s">
        <v>39</v>
      </c>
      <c r="I8" s="55">
        <v>43958</v>
      </c>
      <c r="J8" s="58" t="s">
        <v>19</v>
      </c>
      <c r="K8" s="181"/>
      <c r="L8" s="181"/>
      <c r="M8" s="181"/>
      <c r="N8" s="181"/>
    </row>
    <row r="9" spans="1:14" ht="15" hidden="1" customHeight="1">
      <c r="A9" s="1" t="s">
        <v>45</v>
      </c>
      <c r="B9" s="1"/>
      <c r="C9" s="63" t="s">
        <v>46</v>
      </c>
      <c r="D9" s="10" t="s">
        <v>47</v>
      </c>
      <c r="E9" s="65" t="s">
        <v>48</v>
      </c>
      <c r="F9" s="98" t="s">
        <v>16</v>
      </c>
      <c r="G9" s="16" t="s">
        <v>17</v>
      </c>
      <c r="H9" s="9" t="s">
        <v>39</v>
      </c>
      <c r="I9" s="55">
        <v>43958</v>
      </c>
      <c r="J9" s="58" t="s">
        <v>19</v>
      </c>
      <c r="K9" s="181"/>
      <c r="L9" s="181"/>
      <c r="M9" s="181"/>
      <c r="N9" s="181"/>
    </row>
    <row r="10" spans="1:14" ht="17.5" hidden="1">
      <c r="A10" s="1" t="s">
        <v>49</v>
      </c>
      <c r="B10" s="1" t="s">
        <v>50</v>
      </c>
      <c r="C10" s="11" t="s">
        <v>51</v>
      </c>
      <c r="D10" s="98" t="s">
        <v>52</v>
      </c>
      <c r="E10" s="12">
        <v>18626930122</v>
      </c>
      <c r="F10" s="98" t="s">
        <v>16</v>
      </c>
      <c r="G10" s="16" t="s">
        <v>17</v>
      </c>
      <c r="H10" s="9" t="s">
        <v>39</v>
      </c>
      <c r="I10" s="55">
        <v>43958</v>
      </c>
      <c r="J10" s="58" t="s">
        <v>19</v>
      </c>
      <c r="K10" s="181"/>
      <c r="L10" s="181"/>
      <c r="M10" s="181"/>
      <c r="N10" s="181"/>
    </row>
    <row r="11" spans="1:14" ht="17.5" hidden="1">
      <c r="A11" s="1" t="s">
        <v>53</v>
      </c>
      <c r="B11" s="108" t="s">
        <v>54</v>
      </c>
      <c r="C11" s="109" t="s">
        <v>55</v>
      </c>
      <c r="D11" s="13" t="s">
        <v>56</v>
      </c>
      <c r="E11" s="14">
        <v>18844531701</v>
      </c>
      <c r="F11" s="109" t="s">
        <v>57</v>
      </c>
      <c r="G11" s="110" t="s">
        <v>58</v>
      </c>
      <c r="H11" s="9" t="s">
        <v>18</v>
      </c>
      <c r="I11" s="56">
        <v>44034</v>
      </c>
      <c r="J11" s="58" t="s">
        <v>59</v>
      </c>
      <c r="K11" s="181"/>
      <c r="L11" s="181"/>
      <c r="M11" s="181"/>
      <c r="N11" s="181"/>
    </row>
    <row r="12" spans="1:14" ht="17.5" hidden="1">
      <c r="A12" s="1" t="s">
        <v>60</v>
      </c>
      <c r="B12" s="108" t="s">
        <v>61</v>
      </c>
      <c r="C12" s="109" t="s">
        <v>62</v>
      </c>
      <c r="D12" s="13" t="s">
        <v>63</v>
      </c>
      <c r="E12" s="14">
        <v>18844507032</v>
      </c>
      <c r="F12" s="109" t="s">
        <v>57</v>
      </c>
      <c r="G12" s="110" t="s">
        <v>58</v>
      </c>
      <c r="H12" s="9" t="s">
        <v>18</v>
      </c>
      <c r="I12" s="56">
        <v>44034</v>
      </c>
      <c r="J12" s="58" t="s">
        <v>59</v>
      </c>
      <c r="K12" s="181"/>
      <c r="L12" s="181"/>
      <c r="M12" s="181"/>
      <c r="N12" s="181"/>
    </row>
    <row r="13" spans="1:14" ht="17.5" hidden="1">
      <c r="A13" s="1" t="s">
        <v>64</v>
      </c>
      <c r="B13" s="108" t="s">
        <v>65</v>
      </c>
      <c r="C13" s="109" t="s">
        <v>66</v>
      </c>
      <c r="D13" s="13" t="s">
        <v>67</v>
      </c>
      <c r="E13" s="15" t="s">
        <v>68</v>
      </c>
      <c r="F13" s="109" t="s">
        <v>57</v>
      </c>
      <c r="G13" s="110" t="s">
        <v>58</v>
      </c>
      <c r="H13" s="9" t="s">
        <v>18</v>
      </c>
      <c r="I13" s="56">
        <v>44034</v>
      </c>
      <c r="J13" s="58" t="s">
        <v>19</v>
      </c>
      <c r="K13" s="181"/>
      <c r="L13" s="181"/>
      <c r="M13" s="181"/>
      <c r="N13" s="181"/>
    </row>
    <row r="14" spans="1:14" ht="17.5" hidden="1">
      <c r="A14" s="1" t="s">
        <v>69</v>
      </c>
      <c r="B14" s="108" t="s">
        <v>70</v>
      </c>
      <c r="C14" s="109" t="s">
        <v>71</v>
      </c>
      <c r="D14" s="13" t="s">
        <v>72</v>
      </c>
      <c r="E14" s="15" t="s">
        <v>73</v>
      </c>
      <c r="F14" s="109" t="s">
        <v>57</v>
      </c>
      <c r="G14" s="110" t="s">
        <v>58</v>
      </c>
      <c r="H14" s="9" t="s">
        <v>18</v>
      </c>
      <c r="I14" s="56">
        <v>44034</v>
      </c>
      <c r="J14" s="58" t="s">
        <v>19</v>
      </c>
      <c r="K14" s="181"/>
      <c r="L14" s="181"/>
      <c r="M14" s="181"/>
      <c r="N14" s="181"/>
    </row>
    <row r="15" spans="1:14" ht="17.5" hidden="1">
      <c r="A15" s="1" t="s">
        <v>74</v>
      </c>
      <c r="B15" s="108" t="s">
        <v>75</v>
      </c>
      <c r="C15" s="109" t="s">
        <v>76</v>
      </c>
      <c r="D15" s="13" t="s">
        <v>77</v>
      </c>
      <c r="E15" s="15" t="s">
        <v>78</v>
      </c>
      <c r="F15" s="109" t="s">
        <v>57</v>
      </c>
      <c r="G15" s="110" t="s">
        <v>58</v>
      </c>
      <c r="H15" s="9" t="s">
        <v>18</v>
      </c>
      <c r="I15" s="56">
        <v>44034</v>
      </c>
      <c r="J15" s="58" t="s">
        <v>19</v>
      </c>
      <c r="K15" s="181"/>
      <c r="L15" s="181"/>
      <c r="M15" s="181"/>
      <c r="N15" s="181"/>
    </row>
    <row r="16" spans="1:14" ht="17.5" hidden="1">
      <c r="A16" s="1" t="s">
        <v>79</v>
      </c>
      <c r="B16" s="16"/>
      <c r="C16" s="16" t="s">
        <v>80</v>
      </c>
      <c r="D16" s="16" t="s">
        <v>81</v>
      </c>
      <c r="E16" s="6" t="s">
        <v>82</v>
      </c>
      <c r="F16" s="16" t="s">
        <v>83</v>
      </c>
      <c r="G16" s="16" t="s">
        <v>84</v>
      </c>
      <c r="H16" s="9" t="s">
        <v>18</v>
      </c>
      <c r="I16" s="56">
        <v>44120</v>
      </c>
      <c r="J16" s="58" t="s">
        <v>19</v>
      </c>
      <c r="K16" s="181"/>
      <c r="L16" s="181"/>
      <c r="M16" s="181"/>
      <c r="N16" s="181"/>
    </row>
    <row r="17" spans="1:10" ht="17.5" hidden="1">
      <c r="A17" s="1" t="s">
        <v>85</v>
      </c>
      <c r="B17" s="16"/>
      <c r="C17" s="16" t="s">
        <v>86</v>
      </c>
      <c r="D17" s="16" t="s">
        <v>87</v>
      </c>
      <c r="E17" s="6" t="s">
        <v>88</v>
      </c>
      <c r="F17" s="98" t="s">
        <v>16</v>
      </c>
      <c r="G17" s="16" t="s">
        <v>17</v>
      </c>
      <c r="H17" s="9" t="s">
        <v>18</v>
      </c>
      <c r="I17" s="56">
        <v>44120</v>
      </c>
      <c r="J17" s="58" t="s">
        <v>19</v>
      </c>
    </row>
    <row r="18" spans="1:10" ht="17.5" hidden="1">
      <c r="A18" s="1" t="s">
        <v>89</v>
      </c>
      <c r="B18" s="108" t="s">
        <v>90</v>
      </c>
      <c r="C18" s="16" t="s">
        <v>91</v>
      </c>
      <c r="D18" s="27" t="s">
        <v>92</v>
      </c>
      <c r="E18" s="27" t="s">
        <v>93</v>
      </c>
      <c r="F18" s="16" t="s">
        <v>94</v>
      </c>
      <c r="G18" s="16" t="s">
        <v>95</v>
      </c>
      <c r="H18" s="9" t="s">
        <v>96</v>
      </c>
      <c r="I18" s="57">
        <v>44215</v>
      </c>
      <c r="J18" s="60" t="s">
        <v>19</v>
      </c>
    </row>
    <row r="19" spans="1:10" ht="17.5" hidden="1">
      <c r="A19" s="1" t="s">
        <v>97</v>
      </c>
      <c r="B19" s="108" t="s">
        <v>98</v>
      </c>
      <c r="C19" s="16" t="s">
        <v>99</v>
      </c>
      <c r="D19" s="13" t="s">
        <v>100</v>
      </c>
      <c r="E19" s="29" t="s">
        <v>101</v>
      </c>
      <c r="F19" s="16" t="s">
        <v>94</v>
      </c>
      <c r="G19" s="16" t="s">
        <v>95</v>
      </c>
      <c r="H19" s="9" t="s">
        <v>39</v>
      </c>
      <c r="I19" s="57">
        <v>44215</v>
      </c>
      <c r="J19" s="60" t="s">
        <v>19</v>
      </c>
    </row>
    <row r="20" spans="1:10" ht="17.5" hidden="1">
      <c r="A20" s="1" t="s">
        <v>102</v>
      </c>
      <c r="B20" s="38" t="s">
        <v>103</v>
      </c>
      <c r="C20" s="109" t="s">
        <v>104</v>
      </c>
      <c r="D20" s="13" t="s">
        <v>105</v>
      </c>
      <c r="E20" s="6" t="s">
        <v>106</v>
      </c>
      <c r="F20" s="16" t="s">
        <v>94</v>
      </c>
      <c r="G20" s="16" t="s">
        <v>95</v>
      </c>
      <c r="H20" s="40" t="s">
        <v>96</v>
      </c>
      <c r="I20" s="57">
        <v>44215</v>
      </c>
      <c r="J20" s="60" t="s">
        <v>19</v>
      </c>
    </row>
    <row r="21" spans="1:10" ht="17.5" hidden="1">
      <c r="A21" s="1" t="s">
        <v>107</v>
      </c>
      <c r="B21" s="108" t="s">
        <v>108</v>
      </c>
      <c r="C21" s="109" t="s">
        <v>109</v>
      </c>
      <c r="D21" s="13" t="s">
        <v>110</v>
      </c>
      <c r="E21" s="6" t="s">
        <v>111</v>
      </c>
      <c r="F21" s="16" t="s">
        <v>94</v>
      </c>
      <c r="G21" s="16" t="s">
        <v>95</v>
      </c>
      <c r="H21" s="40" t="s">
        <v>96</v>
      </c>
      <c r="I21" s="57">
        <v>44215</v>
      </c>
      <c r="J21" s="60" t="s">
        <v>19</v>
      </c>
    </row>
    <row r="22" spans="1:10" ht="17.5" hidden="1">
      <c r="A22" s="1" t="s">
        <v>112</v>
      </c>
      <c r="B22" s="38" t="s">
        <v>113</v>
      </c>
      <c r="C22" s="109" t="s">
        <v>114</v>
      </c>
      <c r="D22" s="13" t="s">
        <v>115</v>
      </c>
      <c r="E22" s="6" t="s">
        <v>116</v>
      </c>
      <c r="F22" s="16" t="s">
        <v>94</v>
      </c>
      <c r="G22" s="16" t="s">
        <v>95</v>
      </c>
      <c r="H22" s="40" t="s">
        <v>39</v>
      </c>
      <c r="I22" s="57">
        <v>44215</v>
      </c>
      <c r="J22" s="60" t="s">
        <v>59</v>
      </c>
    </row>
    <row r="23" spans="1:10" ht="17.5" hidden="1">
      <c r="A23" s="1" t="s">
        <v>117</v>
      </c>
      <c r="B23" s="108" t="s">
        <v>118</v>
      </c>
      <c r="C23" s="109" t="s">
        <v>119</v>
      </c>
      <c r="D23" s="13" t="s">
        <v>120</v>
      </c>
      <c r="E23" s="6" t="s">
        <v>121</v>
      </c>
      <c r="F23" s="16" t="s">
        <v>94</v>
      </c>
      <c r="G23" s="16" t="s">
        <v>95</v>
      </c>
      <c r="H23" s="9" t="s">
        <v>18</v>
      </c>
      <c r="I23" s="57">
        <v>44215</v>
      </c>
      <c r="J23" s="59" t="s">
        <v>19</v>
      </c>
    </row>
    <row r="24" spans="1:10" ht="17.5" hidden="1">
      <c r="A24" s="1" t="s">
        <v>122</v>
      </c>
      <c r="B24" s="51" t="s">
        <v>123</v>
      </c>
      <c r="C24" s="52" t="s">
        <v>124</v>
      </c>
      <c r="D24" s="53" t="s">
        <v>125</v>
      </c>
      <c r="E24" s="54">
        <v>13630592436</v>
      </c>
      <c r="F24" s="46" t="s">
        <v>94</v>
      </c>
      <c r="G24" s="16" t="s">
        <v>95</v>
      </c>
      <c r="H24" s="9" t="s">
        <v>18</v>
      </c>
      <c r="I24" s="57">
        <v>44215</v>
      </c>
      <c r="J24" s="59" t="s">
        <v>59</v>
      </c>
    </row>
    <row r="25" spans="1:10" ht="17.5" hidden="1">
      <c r="A25" s="1" t="s">
        <v>126</v>
      </c>
      <c r="B25" s="108" t="s">
        <v>127</v>
      </c>
      <c r="C25" s="109" t="s">
        <v>128</v>
      </c>
      <c r="D25" s="13" t="s">
        <v>129</v>
      </c>
      <c r="E25" s="6" t="s">
        <v>130</v>
      </c>
      <c r="F25" s="16" t="s">
        <v>94</v>
      </c>
      <c r="G25" s="16" t="s">
        <v>95</v>
      </c>
      <c r="H25" s="9" t="s">
        <v>18</v>
      </c>
      <c r="I25" s="57">
        <v>44215</v>
      </c>
      <c r="J25" s="59" t="s">
        <v>19</v>
      </c>
    </row>
    <row r="26" spans="1:10" ht="17.5" hidden="1">
      <c r="A26" s="1" t="s">
        <v>131</v>
      </c>
      <c r="B26" s="51" t="s">
        <v>132</v>
      </c>
      <c r="C26" s="52" t="s">
        <v>133</v>
      </c>
      <c r="D26" s="53" t="s">
        <v>134</v>
      </c>
      <c r="E26" s="54">
        <v>15104411402</v>
      </c>
      <c r="F26" s="46" t="s">
        <v>94</v>
      </c>
      <c r="G26" s="16" t="s">
        <v>95</v>
      </c>
      <c r="H26" s="9" t="s">
        <v>18</v>
      </c>
      <c r="I26" s="57">
        <v>44215</v>
      </c>
      <c r="J26" s="59" t="s">
        <v>19</v>
      </c>
    </row>
    <row r="27" spans="1:10" ht="17.5" hidden="1">
      <c r="A27" s="1" t="s">
        <v>135</v>
      </c>
      <c r="B27" s="47" t="s">
        <v>136</v>
      </c>
      <c r="C27" s="48" t="s">
        <v>137</v>
      </c>
      <c r="D27" s="49" t="s">
        <v>138</v>
      </c>
      <c r="E27" s="50" t="s">
        <v>139</v>
      </c>
      <c r="F27" s="16" t="s">
        <v>94</v>
      </c>
      <c r="G27" s="16" t="s">
        <v>95</v>
      </c>
      <c r="H27" s="9" t="s">
        <v>18</v>
      </c>
      <c r="I27" s="57">
        <v>44215</v>
      </c>
      <c r="J27" s="59" t="s">
        <v>19</v>
      </c>
    </row>
    <row r="28" spans="1:10" ht="17.5" hidden="1">
      <c r="A28" s="1" t="s">
        <v>140</v>
      </c>
      <c r="B28" s="108" t="s">
        <v>141</v>
      </c>
      <c r="C28" s="109" t="s">
        <v>142</v>
      </c>
      <c r="D28" s="13" t="s">
        <v>143</v>
      </c>
      <c r="E28" s="6" t="s">
        <v>144</v>
      </c>
      <c r="F28" s="16" t="s">
        <v>94</v>
      </c>
      <c r="G28" s="16" t="s">
        <v>95</v>
      </c>
      <c r="H28" s="9" t="s">
        <v>18</v>
      </c>
      <c r="I28" s="57">
        <v>44215</v>
      </c>
      <c r="J28" s="59" t="s">
        <v>19</v>
      </c>
    </row>
    <row r="29" spans="1:10" ht="17.5" hidden="1">
      <c r="A29" s="1" t="s">
        <v>145</v>
      </c>
      <c r="B29" s="108" t="s">
        <v>146</v>
      </c>
      <c r="C29" s="109" t="s">
        <v>147</v>
      </c>
      <c r="D29" s="13" t="s">
        <v>148</v>
      </c>
      <c r="E29" s="6" t="s">
        <v>149</v>
      </c>
      <c r="F29" s="16" t="s">
        <v>94</v>
      </c>
      <c r="G29" s="16" t="s">
        <v>95</v>
      </c>
      <c r="H29" s="9" t="s">
        <v>18</v>
      </c>
      <c r="I29" s="57">
        <v>44215</v>
      </c>
      <c r="J29" s="59" t="s">
        <v>59</v>
      </c>
    </row>
    <row r="30" spans="1:10" ht="17.5" hidden="1">
      <c r="A30" s="1" t="s">
        <v>150</v>
      </c>
      <c r="B30" s="108" t="s">
        <v>151</v>
      </c>
      <c r="C30" s="109" t="s">
        <v>152</v>
      </c>
      <c r="D30" s="13" t="s">
        <v>153</v>
      </c>
      <c r="E30" s="6" t="s">
        <v>154</v>
      </c>
      <c r="F30" s="16" t="s">
        <v>94</v>
      </c>
      <c r="G30" s="16" t="s">
        <v>95</v>
      </c>
      <c r="H30" s="9" t="s">
        <v>18</v>
      </c>
      <c r="I30" s="57">
        <v>44215</v>
      </c>
      <c r="J30" s="59" t="s">
        <v>59</v>
      </c>
    </row>
    <row r="31" spans="1:10" ht="17.5" hidden="1">
      <c r="A31" s="1" t="s">
        <v>155</v>
      </c>
      <c r="B31" s="26" t="s">
        <v>156</v>
      </c>
      <c r="C31" s="30" t="s">
        <v>157</v>
      </c>
      <c r="D31" s="31" t="s">
        <v>158</v>
      </c>
      <c r="E31" s="32" t="s">
        <v>159</v>
      </c>
      <c r="F31" s="16" t="s">
        <v>94</v>
      </c>
      <c r="G31" s="16" t="s">
        <v>95</v>
      </c>
      <c r="H31" s="9" t="s">
        <v>18</v>
      </c>
      <c r="I31" s="57">
        <v>44215</v>
      </c>
      <c r="J31" s="59" t="s">
        <v>59</v>
      </c>
    </row>
    <row r="32" spans="1:10" ht="17.5" hidden="1">
      <c r="A32" s="1" t="s">
        <v>160</v>
      </c>
      <c r="B32" s="26" t="s">
        <v>161</v>
      </c>
      <c r="C32" s="30" t="s">
        <v>162</v>
      </c>
      <c r="D32" s="31" t="s">
        <v>163</v>
      </c>
      <c r="E32" s="32" t="s">
        <v>164</v>
      </c>
      <c r="F32" s="16" t="s">
        <v>94</v>
      </c>
      <c r="G32" s="16" t="s">
        <v>95</v>
      </c>
      <c r="H32" s="9" t="s">
        <v>18</v>
      </c>
      <c r="I32" s="57">
        <v>44215</v>
      </c>
      <c r="J32" s="59" t="s">
        <v>19</v>
      </c>
    </row>
    <row r="33" spans="1:10" ht="17.5" hidden="1">
      <c r="A33" s="1" t="s">
        <v>165</v>
      </c>
      <c r="B33" s="26" t="s">
        <v>166</v>
      </c>
      <c r="C33" s="30" t="s">
        <v>167</v>
      </c>
      <c r="D33" s="31" t="s">
        <v>168</v>
      </c>
      <c r="E33" s="32" t="s">
        <v>169</v>
      </c>
      <c r="F33" s="16" t="s">
        <v>94</v>
      </c>
      <c r="G33" s="16" t="s">
        <v>95</v>
      </c>
      <c r="H33" s="9" t="s">
        <v>18</v>
      </c>
      <c r="I33" s="57">
        <v>44215</v>
      </c>
      <c r="J33" s="59" t="s">
        <v>19</v>
      </c>
    </row>
    <row r="34" spans="1:10" ht="17.5" hidden="1">
      <c r="A34" s="1" t="s">
        <v>170</v>
      </c>
      <c r="B34" s="26" t="s">
        <v>171</v>
      </c>
      <c r="C34" s="30" t="s">
        <v>172</v>
      </c>
      <c r="D34" s="31" t="s">
        <v>173</v>
      </c>
      <c r="E34" s="32" t="s">
        <v>174</v>
      </c>
      <c r="F34" s="16" t="s">
        <v>94</v>
      </c>
      <c r="G34" s="16" t="s">
        <v>95</v>
      </c>
      <c r="H34" s="9" t="s">
        <v>18</v>
      </c>
      <c r="I34" s="57">
        <v>44215</v>
      </c>
      <c r="J34" s="59" t="s">
        <v>19</v>
      </c>
    </row>
    <row r="35" spans="1:10" ht="17.5" hidden="1">
      <c r="A35" s="1" t="s">
        <v>175</v>
      </c>
      <c r="B35" s="26" t="s">
        <v>176</v>
      </c>
      <c r="C35" s="30" t="s">
        <v>177</v>
      </c>
      <c r="D35" s="31" t="s">
        <v>178</v>
      </c>
      <c r="E35" s="32" t="s">
        <v>179</v>
      </c>
      <c r="F35" s="16" t="s">
        <v>94</v>
      </c>
      <c r="G35" s="16" t="s">
        <v>95</v>
      </c>
      <c r="H35" s="9" t="s">
        <v>18</v>
      </c>
      <c r="I35" s="57">
        <v>44215</v>
      </c>
      <c r="J35" s="59" t="s">
        <v>59</v>
      </c>
    </row>
    <row r="36" spans="1:10" ht="17.5" hidden="1">
      <c r="A36" s="1" t="s">
        <v>180</v>
      </c>
      <c r="B36" s="26" t="s">
        <v>181</v>
      </c>
      <c r="C36" s="30" t="s">
        <v>182</v>
      </c>
      <c r="D36" s="31" t="s">
        <v>183</v>
      </c>
      <c r="E36" s="32" t="s">
        <v>184</v>
      </c>
      <c r="F36" s="16" t="s">
        <v>94</v>
      </c>
      <c r="G36" s="16" t="s">
        <v>95</v>
      </c>
      <c r="H36" s="9" t="s">
        <v>18</v>
      </c>
      <c r="I36" s="57">
        <v>44215</v>
      </c>
      <c r="J36" s="59" t="s">
        <v>59</v>
      </c>
    </row>
    <row r="37" spans="1:10" ht="17.5" hidden="1">
      <c r="A37" s="1" t="s">
        <v>185</v>
      </c>
      <c r="B37" s="26" t="s">
        <v>186</v>
      </c>
      <c r="C37" s="30" t="s">
        <v>187</v>
      </c>
      <c r="D37" s="31" t="s">
        <v>188</v>
      </c>
      <c r="E37" s="32" t="s">
        <v>189</v>
      </c>
      <c r="F37" s="16" t="s">
        <v>94</v>
      </c>
      <c r="G37" s="16" t="s">
        <v>95</v>
      </c>
      <c r="H37" s="9" t="s">
        <v>18</v>
      </c>
      <c r="I37" s="57">
        <v>44215</v>
      </c>
      <c r="J37" s="59" t="s">
        <v>19</v>
      </c>
    </row>
    <row r="38" spans="1:10" ht="17.5" hidden="1">
      <c r="A38" s="1" t="s">
        <v>190</v>
      </c>
      <c r="B38" s="26" t="s">
        <v>191</v>
      </c>
      <c r="C38" s="30" t="s">
        <v>192</v>
      </c>
      <c r="D38" s="31" t="s">
        <v>193</v>
      </c>
      <c r="E38" s="32" t="s">
        <v>194</v>
      </c>
      <c r="F38" s="16" t="s">
        <v>94</v>
      </c>
      <c r="G38" s="16" t="s">
        <v>95</v>
      </c>
      <c r="H38" s="9" t="s">
        <v>18</v>
      </c>
      <c r="I38" s="57">
        <v>44215</v>
      </c>
      <c r="J38" s="59" t="s">
        <v>59</v>
      </c>
    </row>
    <row r="39" spans="1:10" ht="17.5" hidden="1">
      <c r="A39" s="1" t="s">
        <v>195</v>
      </c>
      <c r="B39" s="108" t="s">
        <v>196</v>
      </c>
      <c r="C39" s="16" t="s">
        <v>197</v>
      </c>
      <c r="D39" s="6" t="s">
        <v>198</v>
      </c>
      <c r="E39" s="6" t="s">
        <v>199</v>
      </c>
      <c r="F39" s="109" t="s">
        <v>57</v>
      </c>
      <c r="G39" s="110" t="s">
        <v>58</v>
      </c>
      <c r="H39" s="9" t="s">
        <v>18</v>
      </c>
      <c r="I39" s="57">
        <v>44215</v>
      </c>
      <c r="J39" s="59" t="s">
        <v>19</v>
      </c>
    </row>
    <row r="40" spans="1:10" ht="17.5" hidden="1">
      <c r="A40" s="1" t="s">
        <v>200</v>
      </c>
      <c r="B40" s="108" t="s">
        <v>201</v>
      </c>
      <c r="C40" s="16" t="s">
        <v>202</v>
      </c>
      <c r="D40" s="6" t="s">
        <v>203</v>
      </c>
      <c r="E40" s="6" t="s">
        <v>204</v>
      </c>
      <c r="F40" s="109" t="s">
        <v>57</v>
      </c>
      <c r="G40" s="110" t="s">
        <v>58</v>
      </c>
      <c r="H40" s="9" t="s">
        <v>18</v>
      </c>
      <c r="I40" s="57">
        <v>44215</v>
      </c>
      <c r="J40" s="59" t="s">
        <v>59</v>
      </c>
    </row>
    <row r="41" spans="1:10" ht="17.5" hidden="1">
      <c r="A41" s="1" t="s">
        <v>205</v>
      </c>
      <c r="B41" s="108" t="s">
        <v>206</v>
      </c>
      <c r="C41" s="16" t="s">
        <v>207</v>
      </c>
      <c r="D41" s="6" t="s">
        <v>208</v>
      </c>
      <c r="E41" s="6" t="s">
        <v>209</v>
      </c>
      <c r="F41" s="109" t="s">
        <v>57</v>
      </c>
      <c r="G41" s="110" t="s">
        <v>58</v>
      </c>
      <c r="H41" s="9" t="s">
        <v>18</v>
      </c>
      <c r="I41" s="57">
        <v>44215</v>
      </c>
      <c r="J41" s="59" t="s">
        <v>19</v>
      </c>
    </row>
    <row r="42" spans="1:10" ht="15" hidden="1" customHeight="1">
      <c r="A42" s="1" t="s">
        <v>210</v>
      </c>
      <c r="B42" s="34" t="s">
        <v>211</v>
      </c>
      <c r="C42" s="16" t="s">
        <v>212</v>
      </c>
      <c r="D42" s="6" t="s">
        <v>213</v>
      </c>
      <c r="E42" s="6" t="s">
        <v>214</v>
      </c>
      <c r="F42" s="109" t="s">
        <v>57</v>
      </c>
      <c r="G42" s="110" t="s">
        <v>58</v>
      </c>
      <c r="H42" s="9" t="s">
        <v>96</v>
      </c>
      <c r="I42" s="57">
        <v>44215</v>
      </c>
      <c r="J42" s="61"/>
    </row>
    <row r="43" spans="1:10" ht="15" hidden="1" customHeight="1">
      <c r="A43" s="1" t="s">
        <v>215</v>
      </c>
      <c r="B43" s="108" t="s">
        <v>216</v>
      </c>
      <c r="C43" s="16" t="s">
        <v>217</v>
      </c>
      <c r="D43" s="6" t="s">
        <v>218</v>
      </c>
      <c r="E43" s="6" t="s">
        <v>219</v>
      </c>
      <c r="F43" s="109" t="s">
        <v>57</v>
      </c>
      <c r="G43" s="110" t="s">
        <v>58</v>
      </c>
      <c r="H43" s="9" t="s">
        <v>96</v>
      </c>
      <c r="I43" s="57">
        <v>44215</v>
      </c>
      <c r="J43" s="60" t="s">
        <v>19</v>
      </c>
    </row>
    <row r="44" spans="1:10" ht="15" hidden="1" customHeight="1">
      <c r="A44" s="1" t="s">
        <v>220</v>
      </c>
      <c r="B44" s="108" t="s">
        <v>221</v>
      </c>
      <c r="C44" s="16" t="s">
        <v>222</v>
      </c>
      <c r="D44" s="6" t="s">
        <v>223</v>
      </c>
      <c r="E44" s="6" t="s">
        <v>224</v>
      </c>
      <c r="F44" s="109" t="s">
        <v>57</v>
      </c>
      <c r="G44" s="110" t="s">
        <v>58</v>
      </c>
      <c r="H44" s="9" t="s">
        <v>96</v>
      </c>
      <c r="I44" s="57">
        <v>44215</v>
      </c>
      <c r="J44" s="60" t="s">
        <v>19</v>
      </c>
    </row>
    <row r="45" spans="1:10" ht="15" hidden="1" customHeight="1">
      <c r="A45" s="1" t="s">
        <v>225</v>
      </c>
      <c r="B45" s="108" t="s">
        <v>226</v>
      </c>
      <c r="C45" s="16" t="s">
        <v>227</v>
      </c>
      <c r="D45" s="6" t="s">
        <v>228</v>
      </c>
      <c r="E45" s="6" t="s">
        <v>229</v>
      </c>
      <c r="F45" s="109" t="s">
        <v>57</v>
      </c>
      <c r="G45" s="110" t="s">
        <v>58</v>
      </c>
      <c r="H45" s="9" t="s">
        <v>96</v>
      </c>
      <c r="I45" s="57">
        <v>44215</v>
      </c>
      <c r="J45" s="60" t="s">
        <v>19</v>
      </c>
    </row>
    <row r="46" spans="1:10" ht="15" hidden="1" customHeight="1">
      <c r="A46" s="1" t="s">
        <v>230</v>
      </c>
      <c r="B46" s="108" t="s">
        <v>231</v>
      </c>
      <c r="C46" s="16" t="s">
        <v>232</v>
      </c>
      <c r="D46" s="6" t="s">
        <v>233</v>
      </c>
      <c r="E46" s="6" t="s">
        <v>234</v>
      </c>
      <c r="F46" s="109" t="s">
        <v>57</v>
      </c>
      <c r="G46" s="110" t="s">
        <v>58</v>
      </c>
      <c r="H46" s="9" t="s">
        <v>96</v>
      </c>
      <c r="I46" s="57">
        <v>44215</v>
      </c>
      <c r="J46" s="60" t="s">
        <v>19</v>
      </c>
    </row>
    <row r="47" spans="1:10" ht="17.5" hidden="1">
      <c r="A47" s="1" t="s">
        <v>235</v>
      </c>
      <c r="B47" s="108" t="s">
        <v>236</v>
      </c>
      <c r="C47" s="16" t="s">
        <v>237</v>
      </c>
      <c r="D47" s="6" t="s">
        <v>238</v>
      </c>
      <c r="E47" s="6" t="s">
        <v>239</v>
      </c>
      <c r="F47" s="109" t="s">
        <v>57</v>
      </c>
      <c r="G47" s="110" t="s">
        <v>58</v>
      </c>
      <c r="H47" s="9" t="s">
        <v>18</v>
      </c>
      <c r="I47" s="57">
        <v>44215</v>
      </c>
      <c r="J47" s="59" t="s">
        <v>59</v>
      </c>
    </row>
    <row r="48" spans="1:10" ht="17.5" hidden="1">
      <c r="A48" s="1" t="s">
        <v>240</v>
      </c>
      <c r="B48" s="108" t="s">
        <v>241</v>
      </c>
      <c r="C48" s="16" t="s">
        <v>242</v>
      </c>
      <c r="D48" s="6" t="s">
        <v>243</v>
      </c>
      <c r="E48" s="6" t="s">
        <v>244</v>
      </c>
      <c r="F48" s="16" t="s">
        <v>245</v>
      </c>
      <c r="G48" s="33" t="s">
        <v>246</v>
      </c>
      <c r="H48" s="9" t="s">
        <v>18</v>
      </c>
      <c r="I48" s="57">
        <v>44215</v>
      </c>
      <c r="J48" s="59" t="s">
        <v>19</v>
      </c>
    </row>
    <row r="49" spans="1:15" ht="17.5" hidden="1">
      <c r="A49" s="1" t="s">
        <v>247</v>
      </c>
      <c r="B49" s="108" t="s">
        <v>248</v>
      </c>
      <c r="C49" s="16" t="s">
        <v>249</v>
      </c>
      <c r="D49" s="6" t="s">
        <v>250</v>
      </c>
      <c r="E49" s="6" t="s">
        <v>251</v>
      </c>
      <c r="F49" s="16" t="s">
        <v>245</v>
      </c>
      <c r="G49" s="33" t="s">
        <v>246</v>
      </c>
      <c r="H49" s="9" t="s">
        <v>18</v>
      </c>
      <c r="I49" s="57">
        <v>44215</v>
      </c>
      <c r="J49" s="59" t="s">
        <v>19</v>
      </c>
      <c r="K49" s="181"/>
      <c r="L49" s="181"/>
      <c r="M49" s="181"/>
      <c r="N49" s="181"/>
      <c r="O49" s="181"/>
    </row>
    <row r="50" spans="1:15" ht="17.5" hidden="1">
      <c r="A50" s="1" t="s">
        <v>252</v>
      </c>
      <c r="B50" s="108" t="s">
        <v>253</v>
      </c>
      <c r="C50" s="16" t="s">
        <v>254</v>
      </c>
      <c r="D50" s="6" t="s">
        <v>255</v>
      </c>
      <c r="E50" s="6" t="s">
        <v>256</v>
      </c>
      <c r="F50" s="16" t="s">
        <v>94</v>
      </c>
      <c r="G50" s="16" t="s">
        <v>95</v>
      </c>
      <c r="H50" s="9" t="s">
        <v>39</v>
      </c>
      <c r="I50" s="57">
        <v>44215</v>
      </c>
      <c r="J50" s="60" t="s">
        <v>19</v>
      </c>
      <c r="K50" s="181"/>
      <c r="L50" s="181"/>
      <c r="M50" s="181"/>
      <c r="N50" s="181"/>
      <c r="O50" s="181"/>
    </row>
    <row r="51" spans="1:15" ht="17.5" hidden="1">
      <c r="A51" s="1" t="s">
        <v>257</v>
      </c>
      <c r="B51" s="38" t="s">
        <v>258</v>
      </c>
      <c r="C51" s="33" t="s">
        <v>259</v>
      </c>
      <c r="D51" s="39" t="s">
        <v>260</v>
      </c>
      <c r="E51" s="39" t="s">
        <v>261</v>
      </c>
      <c r="F51" s="33" t="s">
        <v>262</v>
      </c>
      <c r="G51" s="33" t="s">
        <v>263</v>
      </c>
      <c r="H51" s="40" t="s">
        <v>39</v>
      </c>
      <c r="I51" s="57">
        <v>44215</v>
      </c>
      <c r="J51" s="60" t="s">
        <v>19</v>
      </c>
      <c r="K51" s="181"/>
      <c r="L51" s="181"/>
      <c r="M51" s="181"/>
      <c r="N51" s="181"/>
      <c r="O51" s="181"/>
    </row>
    <row r="52" spans="1:15" ht="17.5" hidden="1">
      <c r="A52" s="1" t="s">
        <v>264</v>
      </c>
      <c r="B52" s="38" t="s">
        <v>265</v>
      </c>
      <c r="C52" s="41" t="s">
        <v>266</v>
      </c>
      <c r="D52" s="39" t="s">
        <v>267</v>
      </c>
      <c r="E52" s="39" t="s">
        <v>268</v>
      </c>
      <c r="F52" s="33" t="s">
        <v>262</v>
      </c>
      <c r="G52" s="33" t="s">
        <v>263</v>
      </c>
      <c r="H52" s="40" t="s">
        <v>39</v>
      </c>
      <c r="I52" s="57">
        <v>44215</v>
      </c>
      <c r="J52" s="60" t="s">
        <v>19</v>
      </c>
      <c r="K52" s="181"/>
      <c r="L52" s="181"/>
      <c r="M52" s="181"/>
      <c r="N52" s="181"/>
      <c r="O52" s="181"/>
    </row>
    <row r="53" spans="1:15" ht="17.5" hidden="1">
      <c r="A53" s="1" t="s">
        <v>269</v>
      </c>
      <c r="B53" s="38" t="s">
        <v>270</v>
      </c>
      <c r="C53" s="33" t="s">
        <v>271</v>
      </c>
      <c r="D53" s="39" t="s">
        <v>272</v>
      </c>
      <c r="E53" s="39" t="s">
        <v>273</v>
      </c>
      <c r="F53" s="33" t="s">
        <v>262</v>
      </c>
      <c r="G53" s="33" t="s">
        <v>263</v>
      </c>
      <c r="H53" s="40" t="s">
        <v>39</v>
      </c>
      <c r="I53" s="57">
        <v>44215</v>
      </c>
      <c r="J53" s="60" t="s">
        <v>19</v>
      </c>
      <c r="K53" s="181"/>
      <c r="L53" s="181"/>
      <c r="M53" s="181"/>
      <c r="N53" s="181"/>
      <c r="O53" s="181"/>
    </row>
    <row r="54" spans="1:15" ht="17.5" hidden="1">
      <c r="A54" s="1" t="s">
        <v>274</v>
      </c>
      <c r="B54" s="38" t="s">
        <v>275</v>
      </c>
      <c r="C54" s="33" t="s">
        <v>276</v>
      </c>
      <c r="D54" s="39" t="s">
        <v>277</v>
      </c>
      <c r="E54" s="39" t="s">
        <v>278</v>
      </c>
      <c r="F54" s="33" t="s">
        <v>262</v>
      </c>
      <c r="G54" s="33" t="s">
        <v>263</v>
      </c>
      <c r="H54" s="40" t="s">
        <v>39</v>
      </c>
      <c r="I54" s="57">
        <v>44215</v>
      </c>
      <c r="J54" s="60" t="s">
        <v>19</v>
      </c>
      <c r="K54" s="181"/>
      <c r="L54" s="181"/>
      <c r="M54" s="181"/>
      <c r="N54" s="181"/>
      <c r="O54" s="181"/>
    </row>
    <row r="55" spans="1:15" ht="17.5" hidden="1">
      <c r="A55" s="1" t="s">
        <v>279</v>
      </c>
      <c r="B55" s="42" t="s">
        <v>280</v>
      </c>
      <c r="C55" s="33" t="s">
        <v>281</v>
      </c>
      <c r="D55" s="39" t="s">
        <v>282</v>
      </c>
      <c r="E55" s="39" t="s">
        <v>283</v>
      </c>
      <c r="F55" s="33" t="s">
        <v>262</v>
      </c>
      <c r="G55" s="33" t="s">
        <v>263</v>
      </c>
      <c r="H55" s="40" t="s">
        <v>39</v>
      </c>
      <c r="I55" s="57">
        <v>44215</v>
      </c>
      <c r="J55" s="60" t="s">
        <v>19</v>
      </c>
      <c r="K55" s="181"/>
      <c r="L55" s="181"/>
      <c r="M55" s="181"/>
      <c r="N55" s="181"/>
      <c r="O55" s="181"/>
    </row>
    <row r="56" spans="1:15" s="35" customFormat="1" ht="17.5" hidden="1">
      <c r="A56" s="1" t="s">
        <v>284</v>
      </c>
      <c r="B56" s="38" t="s">
        <v>285</v>
      </c>
      <c r="C56" s="43" t="s">
        <v>286</v>
      </c>
      <c r="D56" s="44" t="s">
        <v>287</v>
      </c>
      <c r="E56" s="37">
        <v>17569137622</v>
      </c>
      <c r="F56" s="37" t="s">
        <v>288</v>
      </c>
      <c r="G56" s="45" t="s">
        <v>289</v>
      </c>
      <c r="H56" s="40" t="s">
        <v>18</v>
      </c>
      <c r="I56" s="57">
        <v>44215</v>
      </c>
      <c r="J56" s="59" t="s">
        <v>19</v>
      </c>
      <c r="K56" s="181"/>
      <c r="L56" s="181"/>
      <c r="M56" s="181"/>
      <c r="N56" s="181"/>
      <c r="O56" s="181"/>
    </row>
    <row r="57" spans="1:15" s="35" customFormat="1" ht="17.5" hidden="1">
      <c r="A57" s="1" t="s">
        <v>290</v>
      </c>
      <c r="B57" s="38" t="s">
        <v>291</v>
      </c>
      <c r="C57" s="43" t="s">
        <v>292</v>
      </c>
      <c r="D57" s="44" t="s">
        <v>293</v>
      </c>
      <c r="E57" s="37">
        <v>13585998748</v>
      </c>
      <c r="F57" s="37" t="s">
        <v>288</v>
      </c>
      <c r="G57" s="45" t="s">
        <v>289</v>
      </c>
      <c r="H57" s="40" t="s">
        <v>39</v>
      </c>
      <c r="I57" s="57">
        <v>44215</v>
      </c>
      <c r="J57" s="62" t="s">
        <v>59</v>
      </c>
      <c r="K57" s="181"/>
      <c r="L57" s="181"/>
      <c r="M57" s="181"/>
      <c r="N57" s="181"/>
      <c r="O57" s="181"/>
    </row>
    <row r="58" spans="1:15" s="35" customFormat="1" ht="17.5" hidden="1">
      <c r="A58" s="1" t="s">
        <v>294</v>
      </c>
      <c r="B58" s="38" t="s">
        <v>295</v>
      </c>
      <c r="C58" s="43" t="s">
        <v>296</v>
      </c>
      <c r="D58" s="44" t="s">
        <v>297</v>
      </c>
      <c r="E58" s="37">
        <v>15585645622</v>
      </c>
      <c r="F58" s="37" t="s">
        <v>288</v>
      </c>
      <c r="G58" s="45" t="s">
        <v>289</v>
      </c>
      <c r="H58" s="40" t="s">
        <v>18</v>
      </c>
      <c r="I58" s="57">
        <v>44215</v>
      </c>
      <c r="J58" s="59" t="s">
        <v>19</v>
      </c>
      <c r="K58" s="181"/>
      <c r="L58" s="181"/>
      <c r="M58" s="181"/>
      <c r="N58" s="181"/>
      <c r="O58" s="181"/>
    </row>
    <row r="59" spans="1:15" s="35" customFormat="1" ht="17.5" hidden="1">
      <c r="A59" s="1" t="s">
        <v>298</v>
      </c>
      <c r="B59" s="38" t="s">
        <v>299</v>
      </c>
      <c r="C59" s="43" t="s">
        <v>300</v>
      </c>
      <c r="D59" s="44" t="s">
        <v>301</v>
      </c>
      <c r="E59" s="37">
        <v>17712488587</v>
      </c>
      <c r="F59" s="37" t="s">
        <v>288</v>
      </c>
      <c r="G59" s="45" t="s">
        <v>289</v>
      </c>
      <c r="H59" s="40" t="s">
        <v>39</v>
      </c>
      <c r="I59" s="57">
        <v>44215</v>
      </c>
      <c r="J59" s="62" t="s">
        <v>19</v>
      </c>
      <c r="K59" s="181"/>
      <c r="L59" s="181"/>
      <c r="M59" s="181"/>
      <c r="N59" s="181"/>
      <c r="O59" s="181"/>
    </row>
    <row r="60" spans="1:15" ht="17.5" hidden="1">
      <c r="A60" s="1" t="s">
        <v>302</v>
      </c>
      <c r="B60" s="108" t="s">
        <v>303</v>
      </c>
      <c r="C60" s="16" t="s">
        <v>304</v>
      </c>
      <c r="D60" s="81" t="s">
        <v>305</v>
      </c>
      <c r="E60" s="16">
        <v>15150911191</v>
      </c>
      <c r="F60" s="16" t="s">
        <v>306</v>
      </c>
      <c r="G60" s="16" t="s">
        <v>307</v>
      </c>
      <c r="H60" s="40" t="s">
        <v>18</v>
      </c>
      <c r="I60" s="57">
        <v>44313</v>
      </c>
      <c r="J60" s="60" t="s">
        <v>19</v>
      </c>
      <c r="K60" s="181"/>
      <c r="L60" s="181"/>
      <c r="M60" s="181"/>
      <c r="N60" s="181"/>
      <c r="O60" s="181"/>
    </row>
    <row r="61" spans="1:15" ht="17.5" hidden="1">
      <c r="A61" s="1" t="s">
        <v>308</v>
      </c>
      <c r="B61" s="108" t="s">
        <v>309</v>
      </c>
      <c r="C61" s="16" t="s">
        <v>310</v>
      </c>
      <c r="D61" s="81" t="s">
        <v>311</v>
      </c>
      <c r="E61" s="16">
        <v>13956751920</v>
      </c>
      <c r="F61" s="16" t="s">
        <v>306</v>
      </c>
      <c r="G61" s="16" t="s">
        <v>307</v>
      </c>
      <c r="H61" s="40" t="s">
        <v>18</v>
      </c>
      <c r="I61" s="57">
        <v>44313</v>
      </c>
      <c r="J61" s="60" t="s">
        <v>19</v>
      </c>
      <c r="K61" s="181"/>
      <c r="L61" s="181"/>
      <c r="M61" s="181"/>
      <c r="N61" s="181"/>
      <c r="O61" s="181"/>
    </row>
    <row r="62" spans="1:15" ht="17.5" hidden="1">
      <c r="A62" s="1" t="s">
        <v>312</v>
      </c>
      <c r="B62" s="108" t="s">
        <v>313</v>
      </c>
      <c r="C62" s="16" t="s">
        <v>314</v>
      </c>
      <c r="D62" s="81" t="s">
        <v>315</v>
      </c>
      <c r="E62" s="16">
        <v>18269911766</v>
      </c>
      <c r="F62" s="16" t="s">
        <v>306</v>
      </c>
      <c r="G62" s="16" t="s">
        <v>307</v>
      </c>
      <c r="H62" s="40" t="s">
        <v>18</v>
      </c>
      <c r="I62" s="57">
        <v>44313</v>
      </c>
      <c r="J62" s="60" t="s">
        <v>19</v>
      </c>
      <c r="K62" s="181"/>
      <c r="L62" s="181"/>
      <c r="M62" s="181"/>
      <c r="N62" s="181"/>
      <c r="O62" s="181"/>
    </row>
    <row r="63" spans="1:15" ht="17.5" hidden="1">
      <c r="A63" s="1" t="s">
        <v>316</v>
      </c>
      <c r="B63" s="108" t="s">
        <v>317</v>
      </c>
      <c r="C63" s="16" t="s">
        <v>318</v>
      </c>
      <c r="D63" s="81" t="s">
        <v>319</v>
      </c>
      <c r="E63" s="16">
        <v>15629923921</v>
      </c>
      <c r="F63" s="16" t="s">
        <v>306</v>
      </c>
      <c r="G63" s="16" t="s">
        <v>307</v>
      </c>
      <c r="H63" s="40" t="s">
        <v>18</v>
      </c>
      <c r="I63" s="57">
        <v>44313</v>
      </c>
      <c r="J63" s="60" t="s">
        <v>19</v>
      </c>
      <c r="K63" s="181"/>
      <c r="L63" s="181"/>
      <c r="M63" s="181"/>
      <c r="N63" s="181"/>
      <c r="O63" s="181"/>
    </row>
    <row r="64" spans="1:15" ht="17.5" hidden="1">
      <c r="A64" s="1" t="s">
        <v>320</v>
      </c>
      <c r="B64" s="108" t="s">
        <v>321</v>
      </c>
      <c r="C64" s="16" t="s">
        <v>322</v>
      </c>
      <c r="D64" s="81" t="s">
        <v>323</v>
      </c>
      <c r="E64" s="16">
        <v>15995304432</v>
      </c>
      <c r="F64" s="16" t="s">
        <v>306</v>
      </c>
      <c r="G64" s="16" t="s">
        <v>307</v>
      </c>
      <c r="H64" s="40" t="s">
        <v>18</v>
      </c>
      <c r="I64" s="57">
        <v>44313</v>
      </c>
      <c r="J64" s="60" t="s">
        <v>19</v>
      </c>
      <c r="K64" s="181"/>
      <c r="L64" s="181"/>
      <c r="M64" s="181"/>
      <c r="N64" s="181"/>
      <c r="O64" s="181"/>
    </row>
    <row r="65" spans="1:10" ht="17.5" hidden="1">
      <c r="A65" s="1" t="s">
        <v>324</v>
      </c>
      <c r="B65" s="108" t="s">
        <v>325</v>
      </c>
      <c r="C65" s="16" t="s">
        <v>326</v>
      </c>
      <c r="D65" s="81" t="s">
        <v>327</v>
      </c>
      <c r="E65" s="16">
        <v>15754375955</v>
      </c>
      <c r="F65" s="16" t="s">
        <v>306</v>
      </c>
      <c r="G65" s="16" t="s">
        <v>307</v>
      </c>
      <c r="H65" s="40" t="s">
        <v>18</v>
      </c>
      <c r="I65" s="57">
        <v>44313</v>
      </c>
      <c r="J65" s="60" t="s">
        <v>59</v>
      </c>
    </row>
    <row r="66" spans="1:10" ht="17.5" hidden="1">
      <c r="A66" s="1" t="s">
        <v>328</v>
      </c>
      <c r="B66" s="38" t="s">
        <v>329</v>
      </c>
      <c r="C66" s="16" t="s">
        <v>330</v>
      </c>
      <c r="D66" s="292" t="s">
        <v>331</v>
      </c>
      <c r="E66" s="16">
        <v>13861097058</v>
      </c>
      <c r="F66" s="16" t="s">
        <v>332</v>
      </c>
      <c r="G66" s="16" t="s">
        <v>333</v>
      </c>
      <c r="H66" s="40" t="s">
        <v>18</v>
      </c>
      <c r="I66" s="57">
        <v>44314</v>
      </c>
      <c r="J66" s="60" t="s">
        <v>19</v>
      </c>
    </row>
    <row r="67" spans="1:10" ht="17.5" hidden="1">
      <c r="A67" s="1" t="s">
        <v>334</v>
      </c>
      <c r="B67" s="38" t="s">
        <v>335</v>
      </c>
      <c r="C67" s="16" t="s">
        <v>336</v>
      </c>
      <c r="D67" s="293" t="s">
        <v>337</v>
      </c>
      <c r="E67" s="16">
        <v>13578671794</v>
      </c>
      <c r="F67" s="16" t="s">
        <v>332</v>
      </c>
      <c r="G67" s="16" t="s">
        <v>333</v>
      </c>
      <c r="H67" s="40" t="s">
        <v>18</v>
      </c>
      <c r="I67" s="57">
        <v>44314</v>
      </c>
      <c r="J67" s="60" t="s">
        <v>19</v>
      </c>
    </row>
    <row r="68" spans="1:10" ht="17.5" hidden="1">
      <c r="A68" s="1" t="s">
        <v>338</v>
      </c>
      <c r="B68" s="38" t="s">
        <v>339</v>
      </c>
      <c r="C68" s="16" t="s">
        <v>340</v>
      </c>
      <c r="D68" s="292" t="s">
        <v>341</v>
      </c>
      <c r="E68" s="16">
        <v>19903342515</v>
      </c>
      <c r="F68" s="16" t="s">
        <v>332</v>
      </c>
      <c r="G68" s="16" t="s">
        <v>333</v>
      </c>
      <c r="H68" s="40" t="s">
        <v>96</v>
      </c>
      <c r="I68" s="57">
        <v>44313</v>
      </c>
      <c r="J68" s="60" t="s">
        <v>19</v>
      </c>
    </row>
    <row r="69" spans="1:10" ht="17.5" hidden="1">
      <c r="A69" s="1" t="s">
        <v>342</v>
      </c>
      <c r="B69" s="38" t="s">
        <v>343</v>
      </c>
      <c r="C69" s="16" t="s">
        <v>344</v>
      </c>
      <c r="D69" s="80" t="s">
        <v>345</v>
      </c>
      <c r="E69" s="16">
        <v>18004431827</v>
      </c>
      <c r="F69" s="16" t="s">
        <v>332</v>
      </c>
      <c r="G69" s="16" t="s">
        <v>333</v>
      </c>
      <c r="H69" s="40" t="s">
        <v>96</v>
      </c>
      <c r="I69" s="57">
        <v>44313</v>
      </c>
      <c r="J69" s="60" t="s">
        <v>19</v>
      </c>
    </row>
    <row r="70" spans="1:10" ht="17.5" hidden="1">
      <c r="A70" s="1" t="s">
        <v>346</v>
      </c>
      <c r="B70" s="38" t="s">
        <v>347</v>
      </c>
      <c r="C70" s="16" t="s">
        <v>348</v>
      </c>
      <c r="D70" s="80" t="s">
        <v>349</v>
      </c>
      <c r="E70" s="16">
        <v>13195723365</v>
      </c>
      <c r="F70" s="16" t="s">
        <v>332</v>
      </c>
      <c r="G70" s="16" t="s">
        <v>333</v>
      </c>
      <c r="H70" s="40" t="s">
        <v>96</v>
      </c>
      <c r="I70" s="57">
        <v>44313</v>
      </c>
      <c r="J70" s="60" t="s">
        <v>19</v>
      </c>
    </row>
    <row r="71" spans="1:10" ht="15.5" hidden="1">
      <c r="A71" s="1" t="s">
        <v>350</v>
      </c>
      <c r="B71" s="64" t="s">
        <v>351</v>
      </c>
      <c r="C71" s="99" t="s">
        <v>352</v>
      </c>
      <c r="D71" s="294" t="s">
        <v>353</v>
      </c>
      <c r="E71" s="65">
        <v>15943857829</v>
      </c>
      <c r="F71" s="122" t="s">
        <v>94</v>
      </c>
      <c r="G71" s="69" t="s">
        <v>354</v>
      </c>
      <c r="H71" s="40" t="s">
        <v>18</v>
      </c>
      <c r="I71" s="57">
        <v>44314</v>
      </c>
      <c r="J71" s="16" t="s">
        <v>59</v>
      </c>
    </row>
    <row r="72" spans="1:10" ht="15.5" hidden="1">
      <c r="A72" s="1" t="s">
        <v>355</v>
      </c>
      <c r="B72" s="64" t="s">
        <v>176</v>
      </c>
      <c r="C72" s="99" t="s">
        <v>177</v>
      </c>
      <c r="D72" s="294" t="s">
        <v>356</v>
      </c>
      <c r="E72" s="65">
        <v>18858215052</v>
      </c>
      <c r="F72" s="122" t="s">
        <v>94</v>
      </c>
      <c r="G72" s="69" t="s">
        <v>354</v>
      </c>
      <c r="H72" s="40" t="s">
        <v>18</v>
      </c>
      <c r="I72" s="57">
        <v>44314</v>
      </c>
      <c r="J72" s="16" t="s">
        <v>19</v>
      </c>
    </row>
    <row r="73" spans="1:10" ht="15.5" hidden="1">
      <c r="A73" s="1" t="s">
        <v>357</v>
      </c>
      <c r="B73" s="64" t="s">
        <v>358</v>
      </c>
      <c r="C73" s="63" t="s">
        <v>359</v>
      </c>
      <c r="D73" s="82" t="s">
        <v>360</v>
      </c>
      <c r="E73" s="65">
        <v>18443125685</v>
      </c>
      <c r="F73" s="122" t="s">
        <v>94</v>
      </c>
      <c r="G73" s="69" t="s">
        <v>354</v>
      </c>
      <c r="H73" s="40" t="s">
        <v>18</v>
      </c>
      <c r="I73" s="57">
        <v>44314</v>
      </c>
      <c r="J73" s="16" t="s">
        <v>19</v>
      </c>
    </row>
    <row r="74" spans="1:10" ht="17.5" hidden="1">
      <c r="A74" s="1" t="s">
        <v>361</v>
      </c>
      <c r="B74" s="64" t="s">
        <v>362</v>
      </c>
      <c r="C74" s="63" t="s">
        <v>363</v>
      </c>
      <c r="D74" s="82" t="s">
        <v>364</v>
      </c>
      <c r="E74" s="65">
        <v>18943644108</v>
      </c>
      <c r="F74" s="122" t="s">
        <v>94</v>
      </c>
      <c r="G74" s="69" t="s">
        <v>354</v>
      </c>
      <c r="H74" s="40" t="s">
        <v>39</v>
      </c>
      <c r="I74" s="57">
        <v>44313</v>
      </c>
      <c r="J74" s="60" t="s">
        <v>19</v>
      </c>
    </row>
    <row r="75" spans="1:10" ht="17.5" hidden="1">
      <c r="A75" s="1" t="s">
        <v>365</v>
      </c>
      <c r="B75" s="34" t="s">
        <v>366</v>
      </c>
      <c r="C75" s="87" t="s">
        <v>367</v>
      </c>
      <c r="D75" s="88" t="s">
        <v>368</v>
      </c>
      <c r="E75" s="89">
        <v>15597870487</v>
      </c>
      <c r="F75" s="122" t="s">
        <v>94</v>
      </c>
      <c r="G75" s="69" t="s">
        <v>354</v>
      </c>
      <c r="H75" s="40" t="s">
        <v>39</v>
      </c>
      <c r="I75" s="57">
        <v>44313</v>
      </c>
      <c r="J75" s="60" t="s">
        <v>19</v>
      </c>
    </row>
    <row r="76" spans="1:10" ht="17.5" hidden="1">
      <c r="A76" s="1" t="s">
        <v>369</v>
      </c>
      <c r="B76" s="66" t="s">
        <v>370</v>
      </c>
      <c r="C76" s="67" t="s">
        <v>371</v>
      </c>
      <c r="D76" s="68" t="s">
        <v>372</v>
      </c>
      <c r="E76" s="70">
        <v>18844149097</v>
      </c>
      <c r="F76" s="65" t="s">
        <v>373</v>
      </c>
      <c r="G76" s="69" t="s">
        <v>374</v>
      </c>
      <c r="H76" s="40" t="s">
        <v>39</v>
      </c>
      <c r="I76" s="57">
        <v>44313</v>
      </c>
      <c r="J76" s="60" t="s">
        <v>19</v>
      </c>
    </row>
    <row r="77" spans="1:10" ht="17.5" hidden="1">
      <c r="A77" s="1" t="s">
        <v>375</v>
      </c>
      <c r="B77" s="71" t="s">
        <v>376</v>
      </c>
      <c r="C77" s="67" t="s">
        <v>377</v>
      </c>
      <c r="D77" s="68" t="s">
        <v>378</v>
      </c>
      <c r="E77" s="65">
        <v>13756026675</v>
      </c>
      <c r="F77" s="65" t="s">
        <v>373</v>
      </c>
      <c r="G77" s="65" t="s">
        <v>374</v>
      </c>
      <c r="H77" s="40" t="s">
        <v>39</v>
      </c>
      <c r="I77" s="57">
        <v>44313</v>
      </c>
      <c r="J77" s="60" t="s">
        <v>59</v>
      </c>
    </row>
    <row r="78" spans="1:10" ht="15" hidden="1" customHeight="1">
      <c r="A78" s="1" t="s">
        <v>379</v>
      </c>
      <c r="B78" s="71" t="s">
        <v>380</v>
      </c>
      <c r="C78" s="67" t="s">
        <v>381</v>
      </c>
      <c r="D78" s="68" t="s">
        <v>382</v>
      </c>
      <c r="E78" s="65">
        <v>15843030465</v>
      </c>
      <c r="F78" s="65" t="s">
        <v>373</v>
      </c>
      <c r="G78" s="65" t="s">
        <v>374</v>
      </c>
      <c r="H78" s="40" t="s">
        <v>96</v>
      </c>
      <c r="I78" s="57">
        <v>44313</v>
      </c>
      <c r="J78" s="60" t="s">
        <v>59</v>
      </c>
    </row>
    <row r="79" spans="1:10" ht="15" hidden="1" customHeight="1">
      <c r="A79" s="1" t="s">
        <v>383</v>
      </c>
      <c r="B79" s="83" t="s">
        <v>384</v>
      </c>
      <c r="C79" s="72" t="s">
        <v>385</v>
      </c>
      <c r="D79" s="73" t="s">
        <v>386</v>
      </c>
      <c r="E79" s="79">
        <v>15953116060</v>
      </c>
      <c r="F79" s="74" t="s">
        <v>387</v>
      </c>
      <c r="G79" s="74" t="s">
        <v>388</v>
      </c>
      <c r="H79" s="40" t="s">
        <v>96</v>
      </c>
      <c r="I79" s="57">
        <v>44313</v>
      </c>
      <c r="J79" s="60" t="s">
        <v>19</v>
      </c>
    </row>
    <row r="80" spans="1:10" ht="15" hidden="1" customHeight="1">
      <c r="A80" s="1" t="s">
        <v>389</v>
      </c>
      <c r="B80" s="83" t="s">
        <v>390</v>
      </c>
      <c r="C80" s="72" t="s">
        <v>391</v>
      </c>
      <c r="D80" s="73" t="s">
        <v>392</v>
      </c>
      <c r="E80" s="79">
        <v>15518569197</v>
      </c>
      <c r="F80" s="74" t="s">
        <v>387</v>
      </c>
      <c r="G80" s="74" t="s">
        <v>388</v>
      </c>
      <c r="H80" s="40" t="s">
        <v>96</v>
      </c>
      <c r="I80" s="57">
        <v>44313</v>
      </c>
      <c r="J80" s="60" t="s">
        <v>19</v>
      </c>
    </row>
    <row r="81" spans="1:10" ht="17.5" hidden="1">
      <c r="A81" s="1" t="s">
        <v>393</v>
      </c>
      <c r="B81" s="83" t="s">
        <v>394</v>
      </c>
      <c r="C81" s="72" t="s">
        <v>395</v>
      </c>
      <c r="D81" s="73" t="s">
        <v>396</v>
      </c>
      <c r="E81" s="79">
        <v>15754352779</v>
      </c>
      <c r="F81" s="74" t="s">
        <v>387</v>
      </c>
      <c r="G81" s="74" t="s">
        <v>388</v>
      </c>
      <c r="H81" s="40" t="s">
        <v>96</v>
      </c>
      <c r="I81" s="57">
        <v>44313</v>
      </c>
      <c r="J81" s="60" t="s">
        <v>19</v>
      </c>
    </row>
    <row r="82" spans="1:10" ht="17.5" hidden="1">
      <c r="A82" s="1" t="s">
        <v>397</v>
      </c>
      <c r="B82" s="85" t="s">
        <v>398</v>
      </c>
      <c r="C82" s="72" t="s">
        <v>399</v>
      </c>
      <c r="D82" s="73" t="s">
        <v>400</v>
      </c>
      <c r="E82" s="79">
        <v>17851225327</v>
      </c>
      <c r="F82" s="74" t="s">
        <v>387</v>
      </c>
      <c r="G82" s="74" t="s">
        <v>388</v>
      </c>
      <c r="H82" s="40" t="s">
        <v>96</v>
      </c>
      <c r="I82" s="57">
        <v>44313</v>
      </c>
      <c r="J82" s="60" t="s">
        <v>19</v>
      </c>
    </row>
    <row r="83" spans="1:10" ht="17.5" hidden="1">
      <c r="A83" s="1" t="s">
        <v>401</v>
      </c>
      <c r="B83" s="83" t="s">
        <v>402</v>
      </c>
      <c r="C83" s="72" t="s">
        <v>403</v>
      </c>
      <c r="D83" s="73" t="s">
        <v>404</v>
      </c>
      <c r="E83" s="79">
        <v>13671947407</v>
      </c>
      <c r="F83" s="74" t="s">
        <v>387</v>
      </c>
      <c r="G83" s="74" t="s">
        <v>388</v>
      </c>
      <c r="H83" s="40" t="s">
        <v>96</v>
      </c>
      <c r="I83" s="57">
        <v>44313</v>
      </c>
      <c r="J83" s="60" t="s">
        <v>19</v>
      </c>
    </row>
    <row r="84" spans="1:10" ht="17.5" hidden="1">
      <c r="A84" s="1" t="s">
        <v>405</v>
      </c>
      <c r="B84" s="75" t="s">
        <v>406</v>
      </c>
      <c r="C84" s="295" t="s">
        <v>407</v>
      </c>
      <c r="D84" s="293" t="s">
        <v>408</v>
      </c>
      <c r="E84" s="76">
        <v>13817403380</v>
      </c>
      <c r="F84" s="74" t="s">
        <v>387</v>
      </c>
      <c r="G84" s="74" t="s">
        <v>388</v>
      </c>
      <c r="H84" s="40" t="s">
        <v>18</v>
      </c>
      <c r="I84" s="57">
        <v>44313</v>
      </c>
      <c r="J84" s="60" t="s">
        <v>19</v>
      </c>
    </row>
    <row r="85" spans="1:10" ht="17.5" hidden="1">
      <c r="A85" s="1" t="s">
        <v>409</v>
      </c>
      <c r="B85" s="77" t="s">
        <v>410</v>
      </c>
      <c r="C85" s="295" t="s">
        <v>411</v>
      </c>
      <c r="D85" s="293" t="s">
        <v>412</v>
      </c>
      <c r="E85" s="78">
        <v>15145454564</v>
      </c>
      <c r="F85" s="74" t="s">
        <v>387</v>
      </c>
      <c r="G85" s="74" t="s">
        <v>388</v>
      </c>
      <c r="H85" s="40" t="s">
        <v>18</v>
      </c>
      <c r="I85" s="57">
        <v>44313</v>
      </c>
      <c r="J85" s="60" t="s">
        <v>19</v>
      </c>
    </row>
    <row r="86" spans="1:10" ht="17.5" hidden="1">
      <c r="A86" s="1" t="s">
        <v>413</v>
      </c>
      <c r="B86" s="77" t="s">
        <v>414</v>
      </c>
      <c r="C86" s="295" t="s">
        <v>415</v>
      </c>
      <c r="D86" s="293" t="s">
        <v>416</v>
      </c>
      <c r="E86" s="78">
        <v>18443125847</v>
      </c>
      <c r="F86" s="74" t="s">
        <v>387</v>
      </c>
      <c r="G86" s="74" t="s">
        <v>388</v>
      </c>
      <c r="H86" s="40" t="s">
        <v>18</v>
      </c>
      <c r="I86" s="57">
        <v>44313</v>
      </c>
      <c r="J86" s="60" t="s">
        <v>19</v>
      </c>
    </row>
    <row r="87" spans="1:10" ht="15.5" hidden="1">
      <c r="A87" s="1" t="s">
        <v>417</v>
      </c>
      <c r="B87" s="77" t="s">
        <v>418</v>
      </c>
      <c r="C87" s="295" t="s">
        <v>419</v>
      </c>
      <c r="D87" s="293" t="s">
        <v>420</v>
      </c>
      <c r="E87" s="78">
        <v>18237063713</v>
      </c>
      <c r="F87" s="74" t="s">
        <v>387</v>
      </c>
      <c r="G87" s="74" t="s">
        <v>388</v>
      </c>
      <c r="H87" s="40" t="s">
        <v>18</v>
      </c>
      <c r="I87" s="57">
        <v>44314</v>
      </c>
      <c r="J87" s="16" t="s">
        <v>19</v>
      </c>
    </row>
    <row r="88" spans="1:10" ht="15.5" hidden="1">
      <c r="A88" s="1" t="s">
        <v>421</v>
      </c>
      <c r="B88" s="84" t="s">
        <v>422</v>
      </c>
      <c r="C88" s="295" t="s">
        <v>423</v>
      </c>
      <c r="D88" s="293" t="s">
        <v>424</v>
      </c>
      <c r="E88" s="78">
        <v>13756591906</v>
      </c>
      <c r="F88" s="74" t="s">
        <v>387</v>
      </c>
      <c r="G88" s="74" t="s">
        <v>388</v>
      </c>
      <c r="H88" s="40" t="s">
        <v>18</v>
      </c>
      <c r="I88" s="57">
        <v>44314</v>
      </c>
      <c r="J88" s="16" t="s">
        <v>19</v>
      </c>
    </row>
    <row r="89" spans="1:10" ht="15.5" hidden="1">
      <c r="A89" s="1" t="s">
        <v>425</v>
      </c>
      <c r="B89" s="296" t="s">
        <v>426</v>
      </c>
      <c r="C89" s="295" t="s">
        <v>427</v>
      </c>
      <c r="D89" s="293" t="s">
        <v>428</v>
      </c>
      <c r="E89" s="79">
        <v>13564010252</v>
      </c>
      <c r="F89" s="74" t="s">
        <v>387</v>
      </c>
      <c r="G89" s="74" t="s">
        <v>388</v>
      </c>
      <c r="H89" s="40" t="s">
        <v>18</v>
      </c>
      <c r="I89" s="57">
        <v>44314</v>
      </c>
      <c r="J89" s="16" t="s">
        <v>19</v>
      </c>
    </row>
    <row r="90" spans="1:10" ht="15.5" hidden="1">
      <c r="A90" s="1" t="s">
        <v>429</v>
      </c>
      <c r="B90" s="296" t="s">
        <v>430</v>
      </c>
      <c r="C90" s="295" t="s">
        <v>431</v>
      </c>
      <c r="D90" s="293" t="s">
        <v>432</v>
      </c>
      <c r="E90" s="79">
        <v>18843183618</v>
      </c>
      <c r="F90" s="74" t="s">
        <v>387</v>
      </c>
      <c r="G90" s="74" t="s">
        <v>388</v>
      </c>
      <c r="H90" s="40" t="s">
        <v>18</v>
      </c>
      <c r="I90" s="57">
        <v>44314</v>
      </c>
      <c r="J90" s="16" t="s">
        <v>19</v>
      </c>
    </row>
    <row r="91" spans="1:10" ht="15.5" hidden="1">
      <c r="A91" s="1" t="s">
        <v>433</v>
      </c>
      <c r="B91" s="77" t="s">
        <v>434</v>
      </c>
      <c r="C91" s="295" t="s">
        <v>435</v>
      </c>
      <c r="D91" s="293" t="s">
        <v>436</v>
      </c>
      <c r="E91" s="78">
        <v>18261629192</v>
      </c>
      <c r="F91" s="74" t="s">
        <v>387</v>
      </c>
      <c r="G91" s="74" t="s">
        <v>388</v>
      </c>
      <c r="H91" s="40" t="s">
        <v>18</v>
      </c>
      <c r="I91" s="57">
        <v>44314</v>
      </c>
      <c r="J91" s="16" t="s">
        <v>59</v>
      </c>
    </row>
    <row r="92" spans="1:10" ht="17.5" hidden="1">
      <c r="A92" s="1" t="s">
        <v>437</v>
      </c>
      <c r="B92" s="26" t="s">
        <v>438</v>
      </c>
      <c r="C92" s="28" t="s">
        <v>439</v>
      </c>
      <c r="D92" s="6" t="s">
        <v>440</v>
      </c>
      <c r="E92" s="6" t="s">
        <v>441</v>
      </c>
      <c r="F92" s="28" t="s">
        <v>442</v>
      </c>
      <c r="G92" s="28" t="s">
        <v>443</v>
      </c>
      <c r="H92" s="40" t="s">
        <v>39</v>
      </c>
      <c r="I92" s="57">
        <v>44313</v>
      </c>
      <c r="J92" s="60" t="s">
        <v>19</v>
      </c>
    </row>
    <row r="93" spans="1:10" ht="17.5" hidden="1">
      <c r="A93" s="1" t="s">
        <v>444</v>
      </c>
      <c r="B93" s="26" t="s">
        <v>445</v>
      </c>
      <c r="C93" s="28" t="s">
        <v>446</v>
      </c>
      <c r="D93" s="6" t="s">
        <v>447</v>
      </c>
      <c r="E93" s="6" t="s">
        <v>448</v>
      </c>
      <c r="F93" s="28" t="s">
        <v>442</v>
      </c>
      <c r="G93" s="28" t="s">
        <v>443</v>
      </c>
      <c r="H93" s="40" t="s">
        <v>39</v>
      </c>
      <c r="I93" s="57">
        <v>44313</v>
      </c>
      <c r="J93" s="60" t="s">
        <v>59</v>
      </c>
    </row>
    <row r="94" spans="1:10" ht="17.5" hidden="1">
      <c r="A94" s="1" t="s">
        <v>449</v>
      </c>
      <c r="B94" s="26" t="s">
        <v>450</v>
      </c>
      <c r="C94" s="28" t="s">
        <v>451</v>
      </c>
      <c r="D94" s="32" t="s">
        <v>452</v>
      </c>
      <c r="E94" s="6" t="s">
        <v>453</v>
      </c>
      <c r="F94" s="28" t="s">
        <v>442</v>
      </c>
      <c r="G94" s="28" t="s">
        <v>443</v>
      </c>
      <c r="H94" s="40" t="s">
        <v>39</v>
      </c>
      <c r="I94" s="57">
        <v>44313</v>
      </c>
      <c r="J94" s="60" t="s">
        <v>59</v>
      </c>
    </row>
    <row r="95" spans="1:10" ht="17.5" hidden="1">
      <c r="A95" s="1" t="s">
        <v>454</v>
      </c>
      <c r="B95" s="108" t="s">
        <v>455</v>
      </c>
      <c r="C95" s="16" t="s">
        <v>456</v>
      </c>
      <c r="D95" s="293" t="s">
        <v>457</v>
      </c>
      <c r="E95" s="16">
        <v>15590661227</v>
      </c>
      <c r="F95" s="16" t="s">
        <v>373</v>
      </c>
      <c r="G95" s="16" t="s">
        <v>458</v>
      </c>
      <c r="H95" s="40" t="s">
        <v>18</v>
      </c>
      <c r="I95" s="57">
        <v>44313</v>
      </c>
      <c r="J95" s="60" t="s">
        <v>19</v>
      </c>
    </row>
    <row r="96" spans="1:10" ht="17.5" hidden="1">
      <c r="A96" s="1" t="s">
        <v>459</v>
      </c>
      <c r="B96" s="108" t="s">
        <v>460</v>
      </c>
      <c r="C96" s="16" t="s">
        <v>461</v>
      </c>
      <c r="D96" s="293" t="s">
        <v>462</v>
      </c>
      <c r="E96" s="16">
        <v>15886109077</v>
      </c>
      <c r="F96" s="16" t="s">
        <v>373</v>
      </c>
      <c r="G96" s="16" t="s">
        <v>458</v>
      </c>
      <c r="H96" s="40" t="s">
        <v>18</v>
      </c>
      <c r="I96" s="57">
        <v>44313</v>
      </c>
      <c r="J96" s="60" t="s">
        <v>19</v>
      </c>
    </row>
    <row r="97" spans="1:10" ht="17.5" hidden="1">
      <c r="A97" s="1" t="s">
        <v>463</v>
      </c>
      <c r="B97" s="108" t="s">
        <v>464</v>
      </c>
      <c r="C97" s="16" t="s">
        <v>465</v>
      </c>
      <c r="D97" s="293" t="s">
        <v>466</v>
      </c>
      <c r="E97" s="16">
        <v>15143014779</v>
      </c>
      <c r="F97" s="16" t="s">
        <v>373</v>
      </c>
      <c r="G97" s="16" t="s">
        <v>458</v>
      </c>
      <c r="H97" s="40" t="s">
        <v>18</v>
      </c>
      <c r="I97" s="57">
        <v>44313</v>
      </c>
      <c r="J97" s="60" t="s">
        <v>59</v>
      </c>
    </row>
    <row r="98" spans="1:10" ht="17.5" hidden="1">
      <c r="A98" s="1" t="s">
        <v>467</v>
      </c>
      <c r="B98" s="108" t="s">
        <v>468</v>
      </c>
      <c r="C98" s="16" t="s">
        <v>469</v>
      </c>
      <c r="D98" s="293" t="s">
        <v>470</v>
      </c>
      <c r="E98" s="16">
        <v>13104404033</v>
      </c>
      <c r="F98" s="16" t="s">
        <v>373</v>
      </c>
      <c r="G98" s="16" t="s">
        <v>458</v>
      </c>
      <c r="H98" s="40" t="s">
        <v>18</v>
      </c>
      <c r="I98" s="57">
        <v>44313</v>
      </c>
      <c r="J98" s="60" t="s">
        <v>19</v>
      </c>
    </row>
    <row r="99" spans="1:10" ht="17.5" hidden="1">
      <c r="A99" s="1" t="s">
        <v>471</v>
      </c>
      <c r="B99" s="108" t="s">
        <v>472</v>
      </c>
      <c r="C99" s="16" t="s">
        <v>473</v>
      </c>
      <c r="D99" s="293" t="s">
        <v>474</v>
      </c>
      <c r="E99" s="16">
        <v>17790042178</v>
      </c>
      <c r="F99" s="16" t="s">
        <v>373</v>
      </c>
      <c r="G99" s="16" t="s">
        <v>458</v>
      </c>
      <c r="H99" s="40" t="s">
        <v>18</v>
      </c>
      <c r="I99" s="57">
        <v>44313</v>
      </c>
      <c r="J99" s="60" t="s">
        <v>19</v>
      </c>
    </row>
    <row r="100" spans="1:10" ht="17.5" hidden="1">
      <c r="A100" s="1" t="s">
        <v>475</v>
      </c>
      <c r="B100" s="108" t="s">
        <v>476</v>
      </c>
      <c r="C100" s="16" t="s">
        <v>477</v>
      </c>
      <c r="D100" s="6" t="s">
        <v>478</v>
      </c>
      <c r="E100" s="16">
        <v>13473426673</v>
      </c>
      <c r="F100" s="16" t="s">
        <v>479</v>
      </c>
      <c r="G100" s="16" t="s">
        <v>480</v>
      </c>
      <c r="H100" s="40" t="s">
        <v>18</v>
      </c>
      <c r="I100" s="57">
        <v>44313</v>
      </c>
      <c r="J100" s="60" t="s">
        <v>19</v>
      </c>
    </row>
    <row r="101" spans="1:10" ht="17.5" hidden="1">
      <c r="A101" s="1" t="s">
        <v>481</v>
      </c>
      <c r="B101" s="86" t="s">
        <v>482</v>
      </c>
      <c r="C101" s="16" t="s">
        <v>483</v>
      </c>
      <c r="D101" s="6" t="s">
        <v>484</v>
      </c>
      <c r="E101" s="16">
        <v>18625980294</v>
      </c>
      <c r="F101" s="16" t="s">
        <v>57</v>
      </c>
      <c r="G101" s="16" t="s">
        <v>485</v>
      </c>
      <c r="H101" s="40" t="s">
        <v>96</v>
      </c>
      <c r="I101" s="57">
        <v>44313</v>
      </c>
      <c r="J101" s="60" t="s">
        <v>19</v>
      </c>
    </row>
    <row r="102" spans="1:10" ht="17.5" hidden="1">
      <c r="A102" s="1" t="s">
        <v>486</v>
      </c>
      <c r="B102" s="86" t="s">
        <v>487</v>
      </c>
      <c r="C102" s="16" t="s">
        <v>488</v>
      </c>
      <c r="D102" s="6" t="s">
        <v>489</v>
      </c>
      <c r="E102" s="16">
        <v>17614416361</v>
      </c>
      <c r="F102" s="16" t="s">
        <v>57</v>
      </c>
      <c r="G102" s="16" t="s">
        <v>485</v>
      </c>
      <c r="H102" s="40" t="s">
        <v>96</v>
      </c>
      <c r="I102" s="57">
        <v>44313</v>
      </c>
      <c r="J102" s="60" t="s">
        <v>19</v>
      </c>
    </row>
    <row r="103" spans="1:10" ht="16.5" hidden="1">
      <c r="A103" s="1" t="s">
        <v>490</v>
      </c>
      <c r="B103" s="86" t="s">
        <v>491</v>
      </c>
      <c r="C103" s="16" t="s">
        <v>492</v>
      </c>
      <c r="D103" s="6" t="s">
        <v>493</v>
      </c>
      <c r="E103" s="16">
        <v>18844507081</v>
      </c>
      <c r="F103" s="16" t="s">
        <v>57</v>
      </c>
      <c r="G103" s="16" t="s">
        <v>485</v>
      </c>
      <c r="H103" s="40" t="s">
        <v>18</v>
      </c>
      <c r="I103" s="57">
        <v>44314</v>
      </c>
      <c r="J103" s="16" t="s">
        <v>59</v>
      </c>
    </row>
    <row r="104" spans="1:10" ht="16.5" hidden="1">
      <c r="A104" s="1" t="s">
        <v>494</v>
      </c>
      <c r="B104" s="86" t="s">
        <v>495</v>
      </c>
      <c r="C104" s="16" t="s">
        <v>496</v>
      </c>
      <c r="D104" s="6" t="s">
        <v>497</v>
      </c>
      <c r="E104" s="16">
        <v>18844509040</v>
      </c>
      <c r="F104" s="16" t="s">
        <v>57</v>
      </c>
      <c r="G104" s="16" t="s">
        <v>485</v>
      </c>
      <c r="H104" s="40" t="s">
        <v>18</v>
      </c>
      <c r="I104" s="57">
        <v>44314</v>
      </c>
      <c r="J104" s="16" t="s">
        <v>59</v>
      </c>
    </row>
    <row r="105" spans="1:10" ht="16.5" hidden="1">
      <c r="A105" s="1" t="s">
        <v>498</v>
      </c>
      <c r="B105" s="86" t="s">
        <v>499</v>
      </c>
      <c r="C105" s="16" t="s">
        <v>500</v>
      </c>
      <c r="D105" s="6" t="s">
        <v>501</v>
      </c>
      <c r="E105" s="16">
        <v>18332287337</v>
      </c>
      <c r="F105" s="16" t="s">
        <v>57</v>
      </c>
      <c r="G105" s="16" t="s">
        <v>485</v>
      </c>
      <c r="H105" s="40" t="s">
        <v>18</v>
      </c>
      <c r="I105" s="57">
        <v>44314</v>
      </c>
      <c r="J105" s="16" t="s">
        <v>59</v>
      </c>
    </row>
    <row r="106" spans="1:10" ht="16.5" hidden="1">
      <c r="A106" s="1" t="s">
        <v>502</v>
      </c>
      <c r="B106" s="86" t="s">
        <v>503</v>
      </c>
      <c r="C106" s="16" t="s">
        <v>504</v>
      </c>
      <c r="D106" s="6" t="s">
        <v>505</v>
      </c>
      <c r="E106" s="16">
        <v>15855961629</v>
      </c>
      <c r="F106" s="16" t="s">
        <v>57</v>
      </c>
      <c r="G106" s="16" t="s">
        <v>485</v>
      </c>
      <c r="H106" s="40" t="s">
        <v>18</v>
      </c>
      <c r="I106" s="57">
        <v>44314</v>
      </c>
      <c r="J106" s="16" t="s">
        <v>19</v>
      </c>
    </row>
    <row r="107" spans="1:10" ht="16.5" hidden="1">
      <c r="A107" s="1" t="s">
        <v>506</v>
      </c>
      <c r="B107" s="86" t="s">
        <v>507</v>
      </c>
      <c r="C107" s="16" t="s">
        <v>508</v>
      </c>
      <c r="D107" s="6" t="s">
        <v>509</v>
      </c>
      <c r="E107" s="16">
        <v>17521037544</v>
      </c>
      <c r="F107" s="16" t="s">
        <v>57</v>
      </c>
      <c r="G107" s="16" t="s">
        <v>485</v>
      </c>
      <c r="H107" s="40" t="s">
        <v>18</v>
      </c>
      <c r="I107" s="57">
        <v>44314</v>
      </c>
      <c r="J107" s="16" t="s">
        <v>59</v>
      </c>
    </row>
    <row r="108" spans="1:10" ht="16.5" hidden="1">
      <c r="A108" s="1" t="s">
        <v>510</v>
      </c>
      <c r="B108" s="90" t="s">
        <v>511</v>
      </c>
      <c r="C108" s="91" t="s">
        <v>512</v>
      </c>
      <c r="D108" s="6" t="s">
        <v>513</v>
      </c>
      <c r="E108" s="92" t="s">
        <v>514</v>
      </c>
      <c r="F108" s="16" t="s">
        <v>515</v>
      </c>
      <c r="G108" s="16" t="s">
        <v>516</v>
      </c>
      <c r="H108" s="40" t="s">
        <v>96</v>
      </c>
      <c r="I108" s="57">
        <v>44403</v>
      </c>
      <c r="J108" s="16"/>
    </row>
    <row r="109" spans="1:10" ht="15.5" hidden="1">
      <c r="A109" s="1" t="s">
        <v>517</v>
      </c>
      <c r="B109" s="93" t="s">
        <v>518</v>
      </c>
      <c r="C109" s="94" t="s">
        <v>519</v>
      </c>
      <c r="D109" s="6" t="s">
        <v>520</v>
      </c>
      <c r="E109" s="95">
        <v>18116177396</v>
      </c>
      <c r="F109" s="16" t="s">
        <v>515</v>
      </c>
      <c r="G109" s="16" t="s">
        <v>516</v>
      </c>
      <c r="H109" s="40" t="s">
        <v>96</v>
      </c>
      <c r="I109" s="57">
        <v>44403</v>
      </c>
      <c r="J109" s="16"/>
    </row>
    <row r="110" spans="1:10" ht="15.5" hidden="1">
      <c r="A110" s="1" t="s">
        <v>521</v>
      </c>
      <c r="B110" s="93" t="s">
        <v>522</v>
      </c>
      <c r="C110" s="94" t="s">
        <v>523</v>
      </c>
      <c r="D110" s="6" t="s">
        <v>524</v>
      </c>
      <c r="E110" s="95">
        <v>18116173912</v>
      </c>
      <c r="F110" s="16" t="s">
        <v>515</v>
      </c>
      <c r="G110" s="16" t="s">
        <v>516</v>
      </c>
      <c r="H110" s="40" t="s">
        <v>96</v>
      </c>
      <c r="I110" s="57">
        <v>44403</v>
      </c>
      <c r="J110" s="16"/>
    </row>
    <row r="111" spans="1:10" ht="15.5" hidden="1">
      <c r="A111" s="1" t="s">
        <v>525</v>
      </c>
      <c r="B111" s="93" t="s">
        <v>526</v>
      </c>
      <c r="C111" s="94" t="s">
        <v>527</v>
      </c>
      <c r="D111" s="6" t="s">
        <v>528</v>
      </c>
      <c r="E111" s="95">
        <v>18116179191</v>
      </c>
      <c r="F111" s="16" t="s">
        <v>515</v>
      </c>
      <c r="G111" s="16" t="s">
        <v>516</v>
      </c>
      <c r="H111" s="40" t="s">
        <v>96</v>
      </c>
      <c r="I111" s="57">
        <v>44403</v>
      </c>
      <c r="J111" s="16"/>
    </row>
    <row r="112" spans="1:10" ht="15.5" hidden="1">
      <c r="A112" s="1" t="s">
        <v>529</v>
      </c>
      <c r="B112" s="97" t="s">
        <v>530</v>
      </c>
      <c r="C112" s="98" t="s">
        <v>531</v>
      </c>
      <c r="D112" s="6" t="s">
        <v>532</v>
      </c>
      <c r="E112" s="100">
        <v>17721335065</v>
      </c>
      <c r="F112" s="16" t="s">
        <v>533</v>
      </c>
      <c r="G112" s="16" t="s">
        <v>534</v>
      </c>
      <c r="H112" s="40" t="s">
        <v>18</v>
      </c>
      <c r="I112" s="57">
        <v>44403</v>
      </c>
      <c r="J112" s="16"/>
    </row>
    <row r="113" spans="1:10" ht="15.5" hidden="1">
      <c r="A113" s="1" t="s">
        <v>535</v>
      </c>
      <c r="B113" s="97" t="s">
        <v>536</v>
      </c>
      <c r="C113" s="98" t="s">
        <v>537</v>
      </c>
      <c r="D113" s="6" t="s">
        <v>538</v>
      </c>
      <c r="E113" s="100">
        <v>18116178586</v>
      </c>
      <c r="F113" s="16" t="s">
        <v>533</v>
      </c>
      <c r="G113" s="16" t="s">
        <v>534</v>
      </c>
      <c r="H113" s="40" t="s">
        <v>18</v>
      </c>
      <c r="I113" s="57">
        <v>44403</v>
      </c>
      <c r="J113" s="16"/>
    </row>
    <row r="114" spans="1:10" ht="15.5" hidden="1">
      <c r="A114" s="1" t="s">
        <v>539</v>
      </c>
      <c r="B114" s="97" t="s">
        <v>540</v>
      </c>
      <c r="C114" s="98" t="s">
        <v>541</v>
      </c>
      <c r="D114" s="6" t="s">
        <v>542</v>
      </c>
      <c r="E114" s="100">
        <v>18116175722</v>
      </c>
      <c r="F114" s="16" t="s">
        <v>533</v>
      </c>
      <c r="G114" s="16" t="s">
        <v>534</v>
      </c>
      <c r="H114" s="40" t="s">
        <v>18</v>
      </c>
      <c r="I114" s="57">
        <v>44403</v>
      </c>
      <c r="J114" s="16"/>
    </row>
    <row r="115" spans="1:10" ht="15.5" hidden="1">
      <c r="A115" s="1" t="s">
        <v>543</v>
      </c>
      <c r="B115" s="97" t="s">
        <v>544</v>
      </c>
      <c r="C115" s="98" t="s">
        <v>545</v>
      </c>
      <c r="D115" s="6" t="s">
        <v>546</v>
      </c>
      <c r="E115" s="100">
        <v>18116175576</v>
      </c>
      <c r="F115" s="16" t="s">
        <v>533</v>
      </c>
      <c r="G115" s="16" t="s">
        <v>534</v>
      </c>
      <c r="H115" s="40" t="s">
        <v>18</v>
      </c>
      <c r="I115" s="57">
        <v>44403</v>
      </c>
      <c r="J115" s="16"/>
    </row>
    <row r="116" spans="1:10" ht="15.5" hidden="1">
      <c r="A116" s="1" t="s">
        <v>547</v>
      </c>
      <c r="B116" s="97" t="s">
        <v>548</v>
      </c>
      <c r="C116" s="99" t="s">
        <v>549</v>
      </c>
      <c r="D116" s="6" t="s">
        <v>550</v>
      </c>
      <c r="E116" s="100">
        <v>17721336167</v>
      </c>
      <c r="F116" s="16" t="s">
        <v>533</v>
      </c>
      <c r="G116" s="16" t="s">
        <v>534</v>
      </c>
      <c r="H116" s="40" t="s">
        <v>18</v>
      </c>
      <c r="I116" s="57">
        <v>44403</v>
      </c>
      <c r="J116" s="16"/>
    </row>
    <row r="117" spans="1:10" ht="15.5" hidden="1">
      <c r="A117" s="1" t="s">
        <v>551</v>
      </c>
      <c r="B117" s="97" t="s">
        <v>552</v>
      </c>
      <c r="C117" s="99" t="s">
        <v>553</v>
      </c>
      <c r="D117" s="6" t="s">
        <v>554</v>
      </c>
      <c r="E117" s="100">
        <v>18116175915</v>
      </c>
      <c r="F117" s="16" t="s">
        <v>533</v>
      </c>
      <c r="G117" s="16" t="s">
        <v>534</v>
      </c>
      <c r="H117" s="40" t="s">
        <v>18</v>
      </c>
      <c r="I117" s="57">
        <v>44403</v>
      </c>
      <c r="J117" s="16"/>
    </row>
    <row r="118" spans="1:10" ht="15.5" hidden="1">
      <c r="A118" s="1" t="s">
        <v>555</v>
      </c>
      <c r="B118" s="101" t="s">
        <v>556</v>
      </c>
      <c r="C118" s="105" t="s">
        <v>557</v>
      </c>
      <c r="D118" s="6" t="s">
        <v>558</v>
      </c>
      <c r="E118" s="65" t="s">
        <v>559</v>
      </c>
      <c r="F118" s="16" t="s">
        <v>560</v>
      </c>
      <c r="G118" s="16" t="s">
        <v>561</v>
      </c>
      <c r="H118" s="40" t="s">
        <v>18</v>
      </c>
      <c r="I118" s="57">
        <v>44403</v>
      </c>
      <c r="J118" s="16"/>
    </row>
    <row r="119" spans="1:10" ht="15.5" hidden="1">
      <c r="A119" s="1" t="s">
        <v>562</v>
      </c>
      <c r="B119" s="102" t="s">
        <v>563</v>
      </c>
      <c r="C119" s="105" t="s">
        <v>564</v>
      </c>
      <c r="D119" s="6" t="s">
        <v>565</v>
      </c>
      <c r="E119" s="65" t="s">
        <v>566</v>
      </c>
      <c r="F119" s="16" t="s">
        <v>560</v>
      </c>
      <c r="G119" s="16" t="s">
        <v>561</v>
      </c>
      <c r="H119" s="40" t="s">
        <v>96</v>
      </c>
      <c r="I119" s="57">
        <v>44403</v>
      </c>
      <c r="J119" s="16"/>
    </row>
    <row r="120" spans="1:10" ht="15.5" hidden="1">
      <c r="A120" s="1" t="s">
        <v>567</v>
      </c>
      <c r="B120" s="101" t="s">
        <v>568</v>
      </c>
      <c r="C120" s="105" t="s">
        <v>569</v>
      </c>
      <c r="D120" s="6" t="s">
        <v>570</v>
      </c>
      <c r="E120" s="65" t="s">
        <v>571</v>
      </c>
      <c r="F120" s="16" t="s">
        <v>560</v>
      </c>
      <c r="G120" s="16" t="s">
        <v>561</v>
      </c>
      <c r="H120" s="40" t="s">
        <v>96</v>
      </c>
      <c r="I120" s="57">
        <v>44403</v>
      </c>
      <c r="J120" s="16"/>
    </row>
    <row r="121" spans="1:10" ht="15.5" hidden="1">
      <c r="A121" s="1" t="s">
        <v>572</v>
      </c>
      <c r="B121" s="101" t="s">
        <v>573</v>
      </c>
      <c r="C121" s="105" t="s">
        <v>574</v>
      </c>
      <c r="D121" s="6" t="s">
        <v>575</v>
      </c>
      <c r="E121" s="65" t="s">
        <v>576</v>
      </c>
      <c r="F121" s="16" t="s">
        <v>560</v>
      </c>
      <c r="G121" s="16" t="s">
        <v>561</v>
      </c>
      <c r="H121" s="40" t="s">
        <v>18</v>
      </c>
      <c r="I121" s="57">
        <v>44403</v>
      </c>
      <c r="J121" s="16"/>
    </row>
    <row r="122" spans="1:10" ht="15.5" hidden="1">
      <c r="A122" s="1" t="s">
        <v>577</v>
      </c>
      <c r="B122" s="101" t="s">
        <v>578</v>
      </c>
      <c r="C122" s="105" t="s">
        <v>579</v>
      </c>
      <c r="D122" s="6" t="s">
        <v>580</v>
      </c>
      <c r="E122" s="65" t="s">
        <v>581</v>
      </c>
      <c r="F122" s="16" t="s">
        <v>560</v>
      </c>
      <c r="G122" s="16" t="s">
        <v>561</v>
      </c>
      <c r="H122" s="40" t="s">
        <v>18</v>
      </c>
      <c r="I122" s="57">
        <v>44403</v>
      </c>
      <c r="J122" s="16"/>
    </row>
    <row r="123" spans="1:10" ht="15.5" hidden="1">
      <c r="A123" s="1" t="s">
        <v>582</v>
      </c>
      <c r="B123" s="101" t="s">
        <v>583</v>
      </c>
      <c r="C123" s="105" t="s">
        <v>584</v>
      </c>
      <c r="D123" s="6" t="s">
        <v>585</v>
      </c>
      <c r="E123" s="65" t="s">
        <v>586</v>
      </c>
      <c r="F123" s="16" t="s">
        <v>560</v>
      </c>
      <c r="G123" s="16" t="s">
        <v>561</v>
      </c>
      <c r="H123" s="40" t="s">
        <v>18</v>
      </c>
      <c r="I123" s="57">
        <v>44403</v>
      </c>
      <c r="J123" s="16"/>
    </row>
    <row r="124" spans="1:10" ht="15.5" hidden="1">
      <c r="A124" s="1" t="s">
        <v>587</v>
      </c>
      <c r="B124" s="101" t="s">
        <v>588</v>
      </c>
      <c r="C124" s="106" t="s">
        <v>589</v>
      </c>
      <c r="D124" s="6" t="s">
        <v>590</v>
      </c>
      <c r="E124" s="65" t="s">
        <v>591</v>
      </c>
      <c r="F124" s="16" t="s">
        <v>560</v>
      </c>
      <c r="G124" s="16" t="s">
        <v>561</v>
      </c>
      <c r="H124" s="40" t="s">
        <v>18</v>
      </c>
      <c r="I124" s="57">
        <v>44403</v>
      </c>
      <c r="J124" s="16"/>
    </row>
    <row r="125" spans="1:10" ht="15.5" hidden="1">
      <c r="A125" s="1" t="s">
        <v>592</v>
      </c>
      <c r="B125" s="102" t="s">
        <v>593</v>
      </c>
      <c r="C125" s="105" t="s">
        <v>594</v>
      </c>
      <c r="D125" s="6" t="s">
        <v>595</v>
      </c>
      <c r="E125" s="65" t="s">
        <v>596</v>
      </c>
      <c r="F125" s="16" t="s">
        <v>560</v>
      </c>
      <c r="G125" s="16" t="s">
        <v>561</v>
      </c>
      <c r="H125" s="40" t="s">
        <v>18</v>
      </c>
      <c r="I125" s="57">
        <v>44403</v>
      </c>
      <c r="J125" s="16"/>
    </row>
    <row r="126" spans="1:10" ht="16" hidden="1">
      <c r="A126" s="1" t="s">
        <v>597</v>
      </c>
      <c r="B126" s="102" t="s">
        <v>598</v>
      </c>
      <c r="C126" s="107" t="s">
        <v>599</v>
      </c>
      <c r="D126" s="6" t="s">
        <v>600</v>
      </c>
      <c r="E126" s="65" t="s">
        <v>601</v>
      </c>
      <c r="F126" s="16" t="s">
        <v>560</v>
      </c>
      <c r="G126" s="16" t="s">
        <v>561</v>
      </c>
      <c r="H126" s="40" t="s">
        <v>18</v>
      </c>
      <c r="I126" s="57">
        <v>44403</v>
      </c>
      <c r="J126" s="16"/>
    </row>
    <row r="127" spans="1:10" ht="16" hidden="1">
      <c r="A127" s="1" t="s">
        <v>602</v>
      </c>
      <c r="B127" s="103" t="s">
        <v>603</v>
      </c>
      <c r="C127" s="107" t="s">
        <v>604</v>
      </c>
      <c r="D127" s="6" t="s">
        <v>605</v>
      </c>
      <c r="E127" s="65" t="s">
        <v>606</v>
      </c>
      <c r="F127" s="16" t="s">
        <v>560</v>
      </c>
      <c r="G127" s="16" t="s">
        <v>561</v>
      </c>
      <c r="H127" s="40" t="s">
        <v>18</v>
      </c>
      <c r="I127" s="57">
        <v>44403</v>
      </c>
      <c r="J127" s="16"/>
    </row>
    <row r="128" spans="1:10" ht="16" hidden="1">
      <c r="A128" s="1" t="s">
        <v>607</v>
      </c>
      <c r="B128" s="102" t="s">
        <v>608</v>
      </c>
      <c r="C128" s="107" t="s">
        <v>609</v>
      </c>
      <c r="D128" s="6" t="s">
        <v>610</v>
      </c>
      <c r="E128" s="65" t="s">
        <v>611</v>
      </c>
      <c r="F128" s="16" t="s">
        <v>560</v>
      </c>
      <c r="G128" s="16" t="s">
        <v>561</v>
      </c>
      <c r="H128" s="40" t="s">
        <v>18</v>
      </c>
      <c r="I128" s="57">
        <v>44403</v>
      </c>
      <c r="J128" s="16"/>
    </row>
    <row r="129" spans="1:10" ht="16" hidden="1">
      <c r="A129" s="1" t="s">
        <v>612</v>
      </c>
      <c r="B129" s="102" t="s">
        <v>613</v>
      </c>
      <c r="C129" s="107" t="s">
        <v>614</v>
      </c>
      <c r="D129" s="6" t="s">
        <v>615</v>
      </c>
      <c r="E129" s="65" t="s">
        <v>616</v>
      </c>
      <c r="F129" s="16" t="s">
        <v>560</v>
      </c>
      <c r="G129" s="16" t="s">
        <v>561</v>
      </c>
      <c r="H129" s="40" t="s">
        <v>96</v>
      </c>
      <c r="I129" s="57">
        <v>44403</v>
      </c>
      <c r="J129" s="16"/>
    </row>
    <row r="130" spans="1:10" ht="16" hidden="1">
      <c r="A130" s="1" t="s">
        <v>617</v>
      </c>
      <c r="B130" s="102" t="s">
        <v>618</v>
      </c>
      <c r="C130" s="107" t="s">
        <v>619</v>
      </c>
      <c r="D130" s="6" t="s">
        <v>620</v>
      </c>
      <c r="E130" s="65" t="s">
        <v>621</v>
      </c>
      <c r="F130" s="16" t="s">
        <v>560</v>
      </c>
      <c r="G130" s="16" t="s">
        <v>561</v>
      </c>
      <c r="H130" s="40" t="s">
        <v>96</v>
      </c>
      <c r="I130" s="57">
        <v>44403</v>
      </c>
      <c r="J130" s="16"/>
    </row>
    <row r="131" spans="1:10" ht="16" hidden="1">
      <c r="A131" s="1" t="s">
        <v>622</v>
      </c>
      <c r="B131" s="102" t="s">
        <v>623</v>
      </c>
      <c r="C131" s="107" t="s">
        <v>624</v>
      </c>
      <c r="D131" s="6" t="s">
        <v>625</v>
      </c>
      <c r="E131" s="65" t="s">
        <v>626</v>
      </c>
      <c r="F131" s="16" t="s">
        <v>560</v>
      </c>
      <c r="G131" s="16" t="s">
        <v>561</v>
      </c>
      <c r="H131" s="40" t="s">
        <v>96</v>
      </c>
      <c r="I131" s="57">
        <v>44403</v>
      </c>
      <c r="J131" s="16"/>
    </row>
    <row r="132" spans="1:10" ht="16" hidden="1">
      <c r="A132" s="1" t="s">
        <v>627</v>
      </c>
      <c r="B132" s="102" t="s">
        <v>628</v>
      </c>
      <c r="C132" s="107" t="s">
        <v>629</v>
      </c>
      <c r="D132" s="6" t="s">
        <v>630</v>
      </c>
      <c r="E132" s="65" t="s">
        <v>631</v>
      </c>
      <c r="F132" s="16" t="s">
        <v>560</v>
      </c>
      <c r="G132" s="16" t="s">
        <v>561</v>
      </c>
      <c r="H132" s="40" t="s">
        <v>96</v>
      </c>
      <c r="I132" s="57">
        <v>44403</v>
      </c>
      <c r="J132" s="16"/>
    </row>
    <row r="133" spans="1:10" ht="16" hidden="1">
      <c r="A133" s="1" t="s">
        <v>632</v>
      </c>
      <c r="B133" s="104" t="s">
        <v>633</v>
      </c>
      <c r="C133" s="107" t="s">
        <v>634</v>
      </c>
      <c r="D133" s="6" t="s">
        <v>635</v>
      </c>
      <c r="E133" s="65" t="s">
        <v>636</v>
      </c>
      <c r="F133" s="16" t="s">
        <v>560</v>
      </c>
      <c r="G133" s="16" t="s">
        <v>561</v>
      </c>
      <c r="H133" s="40" t="s">
        <v>96</v>
      </c>
      <c r="I133" s="57">
        <v>44403</v>
      </c>
      <c r="J133" s="16"/>
    </row>
    <row r="134" spans="1:10" ht="15.5">
      <c r="A134" s="297" t="s">
        <v>637</v>
      </c>
      <c r="B134" s="104" t="s">
        <v>638</v>
      </c>
      <c r="C134" s="111" t="s">
        <v>639</v>
      </c>
      <c r="D134" s="6" t="s">
        <v>640</v>
      </c>
      <c r="E134" s="131">
        <v>13817191243</v>
      </c>
      <c r="F134" s="16" t="s">
        <v>641</v>
      </c>
      <c r="G134" s="16" t="s">
        <v>642</v>
      </c>
      <c r="H134" s="40" t="s">
        <v>96</v>
      </c>
      <c r="I134" s="298">
        <v>44607</v>
      </c>
      <c r="J134" s="299"/>
    </row>
    <row r="135" spans="1:10" ht="15.5">
      <c r="A135" s="297" t="s">
        <v>643</v>
      </c>
      <c r="B135" s="104" t="s">
        <v>644</v>
      </c>
      <c r="C135" s="300" t="s">
        <v>645</v>
      </c>
      <c r="D135" s="6" t="s">
        <v>646</v>
      </c>
      <c r="E135" s="132" t="s">
        <v>647</v>
      </c>
      <c r="F135" s="16" t="s">
        <v>648</v>
      </c>
      <c r="G135" s="16" t="s">
        <v>649</v>
      </c>
      <c r="H135" s="40" t="s">
        <v>96</v>
      </c>
      <c r="I135" s="298">
        <v>44607</v>
      </c>
      <c r="J135" s="299" t="s">
        <v>19</v>
      </c>
    </row>
    <row r="136" spans="1:10" ht="15.5">
      <c r="A136" s="297" t="s">
        <v>650</v>
      </c>
      <c r="B136" s="104" t="s">
        <v>651</v>
      </c>
      <c r="C136" s="300" t="s">
        <v>652</v>
      </c>
      <c r="D136" s="6" t="s">
        <v>653</v>
      </c>
      <c r="E136" s="133" t="s">
        <v>654</v>
      </c>
      <c r="F136" s="16" t="s">
        <v>648</v>
      </c>
      <c r="G136" s="16" t="s">
        <v>649</v>
      </c>
      <c r="H136" s="40" t="s">
        <v>96</v>
      </c>
      <c r="I136" s="298">
        <v>44607</v>
      </c>
      <c r="J136" s="299" t="s">
        <v>19</v>
      </c>
    </row>
    <row r="137" spans="1:10" ht="15.5">
      <c r="A137" s="297" t="s">
        <v>655</v>
      </c>
      <c r="B137" s="104" t="s">
        <v>656</v>
      </c>
      <c r="C137" s="300" t="s">
        <v>657</v>
      </c>
      <c r="D137" s="6" t="s">
        <v>658</v>
      </c>
      <c r="E137" s="132" t="s">
        <v>659</v>
      </c>
      <c r="F137" s="16" t="s">
        <v>648</v>
      </c>
      <c r="G137" s="16" t="s">
        <v>649</v>
      </c>
      <c r="H137" s="40" t="s">
        <v>96</v>
      </c>
      <c r="I137" s="298">
        <v>44607</v>
      </c>
      <c r="J137" s="299" t="s">
        <v>19</v>
      </c>
    </row>
    <row r="138" spans="1:10" ht="15.5">
      <c r="A138" s="297" t="s">
        <v>660</v>
      </c>
      <c r="B138" s="104" t="s">
        <v>661</v>
      </c>
      <c r="C138" s="300" t="s">
        <v>662</v>
      </c>
      <c r="D138" s="6" t="s">
        <v>663</v>
      </c>
      <c r="E138" s="133" t="s">
        <v>664</v>
      </c>
      <c r="F138" s="16" t="s">
        <v>648</v>
      </c>
      <c r="G138" s="16" t="s">
        <v>649</v>
      </c>
      <c r="H138" s="40" t="s">
        <v>96</v>
      </c>
      <c r="I138" s="298">
        <v>44607</v>
      </c>
      <c r="J138" s="301" t="s">
        <v>19</v>
      </c>
    </row>
    <row r="139" spans="1:10" ht="15.5">
      <c r="A139" s="297" t="s">
        <v>665</v>
      </c>
      <c r="B139" s="104" t="s">
        <v>666</v>
      </c>
      <c r="C139" s="300" t="s">
        <v>667</v>
      </c>
      <c r="D139" s="6" t="s">
        <v>668</v>
      </c>
      <c r="E139" s="133" t="s">
        <v>669</v>
      </c>
      <c r="F139" s="16" t="s">
        <v>648</v>
      </c>
      <c r="G139" s="16" t="s">
        <v>649</v>
      </c>
      <c r="H139" s="40" t="s">
        <v>96</v>
      </c>
      <c r="I139" s="298">
        <v>44607</v>
      </c>
      <c r="J139" s="301" t="s">
        <v>59</v>
      </c>
    </row>
    <row r="140" spans="1:10" ht="15.5">
      <c r="A140" s="297" t="s">
        <v>670</v>
      </c>
      <c r="B140" s="104" t="s">
        <v>671</v>
      </c>
      <c r="C140" s="300" t="s">
        <v>672</v>
      </c>
      <c r="D140" s="6" t="s">
        <v>673</v>
      </c>
      <c r="E140" s="134">
        <v>15956792623</v>
      </c>
      <c r="F140" s="16" t="s">
        <v>648</v>
      </c>
      <c r="G140" s="16" t="s">
        <v>649</v>
      </c>
      <c r="H140" s="40" t="s">
        <v>96</v>
      </c>
      <c r="I140" s="298">
        <v>44607</v>
      </c>
      <c r="J140" s="301" t="s">
        <v>19</v>
      </c>
    </row>
    <row r="141" spans="1:10" ht="15.5">
      <c r="A141" s="297" t="s">
        <v>674</v>
      </c>
      <c r="B141" s="104" t="s">
        <v>675</v>
      </c>
      <c r="C141" s="300" t="s">
        <v>676</v>
      </c>
      <c r="D141" s="6" t="s">
        <v>677</v>
      </c>
      <c r="E141" s="134">
        <v>18756544737</v>
      </c>
      <c r="F141" s="16" t="s">
        <v>648</v>
      </c>
      <c r="G141" s="16" t="s">
        <v>649</v>
      </c>
      <c r="H141" s="40" t="s">
        <v>96</v>
      </c>
      <c r="I141" s="298">
        <v>44607</v>
      </c>
      <c r="J141" s="301" t="s">
        <v>59</v>
      </c>
    </row>
    <row r="142" spans="1:10" ht="15.5">
      <c r="A142" s="297" t="s">
        <v>678</v>
      </c>
      <c r="B142" s="104" t="s">
        <v>679</v>
      </c>
      <c r="C142" s="300" t="s">
        <v>680</v>
      </c>
      <c r="D142" s="6" t="s">
        <v>681</v>
      </c>
      <c r="E142" s="133" t="s">
        <v>682</v>
      </c>
      <c r="F142" s="16" t="s">
        <v>648</v>
      </c>
      <c r="G142" s="16" t="s">
        <v>649</v>
      </c>
      <c r="H142" s="40" t="s">
        <v>96</v>
      </c>
      <c r="I142" s="298">
        <v>44607</v>
      </c>
      <c r="J142" s="301" t="s">
        <v>59</v>
      </c>
    </row>
    <row r="143" spans="1:10" ht="15.5">
      <c r="A143" s="297" t="s">
        <v>683</v>
      </c>
      <c r="B143" s="104" t="s">
        <v>684</v>
      </c>
      <c r="C143" s="300" t="s">
        <v>685</v>
      </c>
      <c r="D143" s="6" t="s">
        <v>686</v>
      </c>
      <c r="E143" s="133" t="s">
        <v>687</v>
      </c>
      <c r="F143" s="16" t="s">
        <v>648</v>
      </c>
      <c r="G143" s="16" t="s">
        <v>649</v>
      </c>
      <c r="H143" s="40" t="s">
        <v>96</v>
      </c>
      <c r="I143" s="298">
        <v>44607</v>
      </c>
      <c r="J143" s="301" t="s">
        <v>19</v>
      </c>
    </row>
    <row r="144" spans="1:10" ht="15.5">
      <c r="A144" s="297" t="s">
        <v>688</v>
      </c>
      <c r="B144" s="104" t="s">
        <v>689</v>
      </c>
      <c r="C144" s="300" t="s">
        <v>690</v>
      </c>
      <c r="D144" s="6" t="s">
        <v>691</v>
      </c>
      <c r="E144" s="134">
        <v>15955233080</v>
      </c>
      <c r="F144" s="16" t="s">
        <v>648</v>
      </c>
      <c r="G144" s="16" t="s">
        <v>649</v>
      </c>
      <c r="H144" s="40" t="s">
        <v>96</v>
      </c>
      <c r="I144" s="298">
        <v>44607</v>
      </c>
      <c r="J144" s="301" t="s">
        <v>59</v>
      </c>
    </row>
    <row r="145" spans="1:10" ht="15.5">
      <c r="A145" s="297" t="s">
        <v>692</v>
      </c>
      <c r="B145" s="104" t="s">
        <v>693</v>
      </c>
      <c r="C145" s="302" t="s">
        <v>694</v>
      </c>
      <c r="D145" s="6" t="s">
        <v>695</v>
      </c>
      <c r="E145" s="303">
        <v>18501636147</v>
      </c>
      <c r="F145" s="16" t="s">
        <v>696</v>
      </c>
      <c r="G145" s="16" t="s">
        <v>697</v>
      </c>
      <c r="H145" s="40" t="s">
        <v>96</v>
      </c>
      <c r="I145" s="298">
        <v>44607</v>
      </c>
      <c r="J145" s="299"/>
    </row>
    <row r="146" spans="1:10" ht="15.5">
      <c r="A146" s="297" t="s">
        <v>698</v>
      </c>
      <c r="B146" s="104" t="s">
        <v>699</v>
      </c>
      <c r="C146" s="302" t="s">
        <v>700</v>
      </c>
      <c r="D146" s="6" t="s">
        <v>701</v>
      </c>
      <c r="E146" s="303">
        <v>13196996553</v>
      </c>
      <c r="F146" s="16" t="s">
        <v>696</v>
      </c>
      <c r="G146" s="16" t="s">
        <v>697</v>
      </c>
      <c r="H146" s="40" t="s">
        <v>96</v>
      </c>
      <c r="I146" s="298">
        <v>44607</v>
      </c>
      <c r="J146" s="299"/>
    </row>
    <row r="147" spans="1:10" ht="15.5">
      <c r="A147" s="297" t="s">
        <v>702</v>
      </c>
      <c r="B147" s="104" t="s">
        <v>703</v>
      </c>
      <c r="C147" s="302" t="s">
        <v>704</v>
      </c>
      <c r="D147" s="6" t="s">
        <v>705</v>
      </c>
      <c r="E147" s="303">
        <v>18717960938</v>
      </c>
      <c r="F147" s="16" t="s">
        <v>696</v>
      </c>
      <c r="G147" s="16" t="s">
        <v>697</v>
      </c>
      <c r="H147" s="40" t="s">
        <v>96</v>
      </c>
      <c r="I147" s="298">
        <v>44607</v>
      </c>
      <c r="J147" s="299" t="s">
        <v>19</v>
      </c>
    </row>
    <row r="148" spans="1:10" ht="15.5">
      <c r="A148" s="297" t="s">
        <v>706</v>
      </c>
      <c r="B148" s="104" t="s">
        <v>707</v>
      </c>
      <c r="C148" s="302" t="s">
        <v>708</v>
      </c>
      <c r="D148" s="6" t="s">
        <v>709</v>
      </c>
      <c r="E148" s="303">
        <v>15052622995</v>
      </c>
      <c r="F148" s="16" t="s">
        <v>696</v>
      </c>
      <c r="G148" s="16" t="s">
        <v>697</v>
      </c>
      <c r="H148" s="40" t="s">
        <v>96</v>
      </c>
      <c r="I148" s="298">
        <v>44607</v>
      </c>
      <c r="J148" s="299"/>
    </row>
    <row r="149" spans="1:10" ht="15.5">
      <c r="A149" s="297" t="s">
        <v>710</v>
      </c>
      <c r="B149" s="104" t="s">
        <v>711</v>
      </c>
      <c r="C149" s="302" t="s">
        <v>712</v>
      </c>
      <c r="D149" s="6" t="s">
        <v>713</v>
      </c>
      <c r="E149" s="303">
        <v>13773812711</v>
      </c>
      <c r="F149" s="16" t="s">
        <v>696</v>
      </c>
      <c r="G149" s="16" t="s">
        <v>697</v>
      </c>
      <c r="H149" s="40" t="s">
        <v>96</v>
      </c>
      <c r="I149" s="298">
        <v>44607</v>
      </c>
      <c r="J149" s="299" t="s">
        <v>59</v>
      </c>
    </row>
    <row r="150" spans="1:10" ht="15.5">
      <c r="A150" s="297" t="s">
        <v>714</v>
      </c>
      <c r="B150" s="104" t="s">
        <v>715</v>
      </c>
      <c r="C150" s="302" t="s">
        <v>716</v>
      </c>
      <c r="D150" s="6" t="s">
        <v>717</v>
      </c>
      <c r="E150" s="303">
        <v>15850416593</v>
      </c>
      <c r="F150" s="16" t="s">
        <v>696</v>
      </c>
      <c r="G150" s="16" t="s">
        <v>697</v>
      </c>
      <c r="H150" s="40" t="s">
        <v>96</v>
      </c>
      <c r="I150" s="298">
        <v>44607</v>
      </c>
      <c r="J150" s="299"/>
    </row>
    <row r="151" spans="1:10" ht="15.5">
      <c r="A151" s="297" t="s">
        <v>718</v>
      </c>
      <c r="B151" s="104" t="s">
        <v>719</v>
      </c>
      <c r="C151" s="302" t="s">
        <v>720</v>
      </c>
      <c r="D151" s="6" t="s">
        <v>721</v>
      </c>
      <c r="E151" s="303">
        <v>15164379350</v>
      </c>
      <c r="F151" s="16" t="s">
        <v>696</v>
      </c>
      <c r="G151" s="16" t="s">
        <v>697</v>
      </c>
      <c r="H151" s="40" t="s">
        <v>96</v>
      </c>
      <c r="I151" s="298">
        <v>44607</v>
      </c>
      <c r="J151" s="299"/>
    </row>
    <row r="152" spans="1:10" ht="15.5">
      <c r="A152" s="297" t="s">
        <v>722</v>
      </c>
      <c r="B152" s="104" t="s">
        <v>723</v>
      </c>
      <c r="C152" s="302" t="s">
        <v>724</v>
      </c>
      <c r="D152" s="6" t="s">
        <v>725</v>
      </c>
      <c r="E152" s="303">
        <v>17649972752</v>
      </c>
      <c r="F152" s="16" t="s">
        <v>696</v>
      </c>
      <c r="G152" s="16" t="s">
        <v>697</v>
      </c>
      <c r="H152" s="40" t="s">
        <v>96</v>
      </c>
      <c r="I152" s="298">
        <v>44607</v>
      </c>
      <c r="J152" s="299"/>
    </row>
    <row r="153" spans="1:10" ht="15.5">
      <c r="A153" s="297" t="s">
        <v>726</v>
      </c>
      <c r="B153" s="104" t="s">
        <v>727</v>
      </c>
      <c r="C153" s="302" t="s">
        <v>728</v>
      </c>
      <c r="D153" s="6" t="s">
        <v>729</v>
      </c>
      <c r="E153" s="303">
        <v>17357411232</v>
      </c>
      <c r="F153" s="16" t="s">
        <v>696</v>
      </c>
      <c r="G153" s="16" t="s">
        <v>697</v>
      </c>
      <c r="H153" s="40" t="s">
        <v>96</v>
      </c>
      <c r="I153" s="298">
        <v>44607</v>
      </c>
      <c r="J153" s="299"/>
    </row>
    <row r="154" spans="1:10" ht="15.5">
      <c r="A154" s="297" t="s">
        <v>730</v>
      </c>
      <c r="B154" s="104" t="s">
        <v>731</v>
      </c>
      <c r="C154" s="302" t="s">
        <v>732</v>
      </c>
      <c r="D154" s="6" t="s">
        <v>733</v>
      </c>
      <c r="E154" s="303">
        <v>13675196987</v>
      </c>
      <c r="F154" s="16" t="s">
        <v>696</v>
      </c>
      <c r="G154" s="16" t="s">
        <v>697</v>
      </c>
      <c r="H154" s="40" t="s">
        <v>96</v>
      </c>
      <c r="I154" s="298">
        <v>44607</v>
      </c>
      <c r="J154" s="299" t="s">
        <v>19</v>
      </c>
    </row>
    <row r="155" spans="1:10" ht="15.5">
      <c r="A155" s="297" t="s">
        <v>734</v>
      </c>
      <c r="B155" s="104" t="s">
        <v>735</v>
      </c>
      <c r="C155" s="302" t="s">
        <v>736</v>
      </c>
      <c r="D155" s="6" t="s">
        <v>737</v>
      </c>
      <c r="E155" s="303">
        <v>15144002378</v>
      </c>
      <c r="F155" s="16" t="s">
        <v>696</v>
      </c>
      <c r="G155" s="16" t="s">
        <v>697</v>
      </c>
      <c r="H155" s="40" t="s">
        <v>96</v>
      </c>
      <c r="I155" s="298">
        <v>44607</v>
      </c>
      <c r="J155" s="299" t="s">
        <v>59</v>
      </c>
    </row>
    <row r="156" spans="1:10" ht="15.5">
      <c r="A156" s="297" t="s">
        <v>738</v>
      </c>
      <c r="B156" s="104" t="s">
        <v>739</v>
      </c>
      <c r="C156" s="111" t="s">
        <v>740</v>
      </c>
      <c r="D156" s="6" t="s">
        <v>741</v>
      </c>
      <c r="E156" s="121">
        <v>15504956335</v>
      </c>
      <c r="F156" s="16" t="s">
        <v>742</v>
      </c>
      <c r="G156" s="16" t="s">
        <v>743</v>
      </c>
      <c r="H156" s="40" t="s">
        <v>96</v>
      </c>
      <c r="I156" s="304">
        <v>44607</v>
      </c>
      <c r="J156" s="299" t="s">
        <v>19</v>
      </c>
    </row>
    <row r="157" spans="1:10" ht="15.5">
      <c r="A157" s="297" t="s">
        <v>744</v>
      </c>
      <c r="B157" s="104" t="s">
        <v>745</v>
      </c>
      <c r="C157" s="111" t="s">
        <v>746</v>
      </c>
      <c r="D157" s="6" t="s">
        <v>747</v>
      </c>
      <c r="E157" s="121">
        <v>16688202456</v>
      </c>
      <c r="F157" s="16" t="s">
        <v>742</v>
      </c>
      <c r="G157" s="16" t="s">
        <v>743</v>
      </c>
      <c r="H157" s="40" t="s">
        <v>96</v>
      </c>
      <c r="I157" s="304">
        <v>44607</v>
      </c>
      <c r="J157" s="299" t="s">
        <v>59</v>
      </c>
    </row>
    <row r="158" spans="1:10" ht="15.5">
      <c r="A158" s="297" t="s">
        <v>748</v>
      </c>
      <c r="B158" s="104" t="s">
        <v>749</v>
      </c>
      <c r="C158" s="112" t="s">
        <v>749</v>
      </c>
      <c r="D158" s="6" t="s">
        <v>750</v>
      </c>
      <c r="E158" s="121">
        <v>15040559080</v>
      </c>
      <c r="F158" s="16" t="s">
        <v>742</v>
      </c>
      <c r="G158" s="16" t="s">
        <v>743</v>
      </c>
      <c r="H158" s="40" t="s">
        <v>96</v>
      </c>
      <c r="I158" s="304">
        <v>44607</v>
      </c>
      <c r="J158" s="299" t="s">
        <v>19</v>
      </c>
    </row>
    <row r="159" spans="1:10" ht="15.5">
      <c r="A159" s="297" t="s">
        <v>751</v>
      </c>
      <c r="B159" s="104" t="s">
        <v>752</v>
      </c>
      <c r="C159" s="305" t="s">
        <v>753</v>
      </c>
      <c r="D159" s="6" t="s">
        <v>754</v>
      </c>
      <c r="E159" s="305">
        <v>18326682178</v>
      </c>
      <c r="F159" s="16" t="s">
        <v>755</v>
      </c>
      <c r="G159" s="16" t="s">
        <v>756</v>
      </c>
      <c r="H159" s="40" t="s">
        <v>96</v>
      </c>
      <c r="I159" s="304">
        <v>44608</v>
      </c>
      <c r="J159" s="301" t="s">
        <v>59</v>
      </c>
    </row>
    <row r="160" spans="1:10" ht="15.5">
      <c r="A160" s="297" t="s">
        <v>757</v>
      </c>
      <c r="B160" s="104" t="s">
        <v>758</v>
      </c>
      <c r="C160" s="135" t="s">
        <v>759</v>
      </c>
      <c r="D160" s="6" t="s">
        <v>760</v>
      </c>
      <c r="E160" s="136">
        <v>19826560922</v>
      </c>
      <c r="F160" s="16" t="s">
        <v>761</v>
      </c>
      <c r="G160" s="16" t="s">
        <v>762</v>
      </c>
      <c r="H160" s="40" t="s">
        <v>96</v>
      </c>
      <c r="I160" s="304">
        <v>44608</v>
      </c>
      <c r="J160" s="301" t="s">
        <v>59</v>
      </c>
    </row>
    <row r="161" spans="1:10" ht="15.5">
      <c r="A161" s="297" t="s">
        <v>763</v>
      </c>
      <c r="B161" s="104" t="s">
        <v>764</v>
      </c>
      <c r="C161" s="135" t="s">
        <v>765</v>
      </c>
      <c r="D161" s="6" t="s">
        <v>766</v>
      </c>
      <c r="E161" s="136">
        <v>18226137813</v>
      </c>
      <c r="F161" s="16" t="s">
        <v>761</v>
      </c>
      <c r="G161" s="16" t="s">
        <v>762</v>
      </c>
      <c r="H161" s="40" t="s">
        <v>96</v>
      </c>
      <c r="I161" s="304">
        <v>44608</v>
      </c>
      <c r="J161" s="301" t="s">
        <v>59</v>
      </c>
    </row>
    <row r="162" spans="1:10" ht="15.5">
      <c r="A162" s="297" t="s">
        <v>767</v>
      </c>
      <c r="B162" s="104" t="s">
        <v>768</v>
      </c>
      <c r="C162" s="305" t="s">
        <v>769</v>
      </c>
      <c r="D162" s="6" t="s">
        <v>770</v>
      </c>
      <c r="E162" s="305">
        <v>18817693710</v>
      </c>
      <c r="F162" s="16" t="s">
        <v>755</v>
      </c>
      <c r="G162" s="16" t="s">
        <v>756</v>
      </c>
      <c r="H162" s="40" t="s">
        <v>96</v>
      </c>
      <c r="I162" s="304">
        <v>44608</v>
      </c>
      <c r="J162" s="301" t="s">
        <v>59</v>
      </c>
    </row>
    <row r="163" spans="1:10" ht="15.5">
      <c r="A163" s="297" t="s">
        <v>771</v>
      </c>
      <c r="B163" s="104" t="s">
        <v>772</v>
      </c>
      <c r="C163" s="305" t="s">
        <v>773</v>
      </c>
      <c r="D163" s="6" t="s">
        <v>774</v>
      </c>
      <c r="E163" s="305">
        <v>18221732354</v>
      </c>
      <c r="F163" s="16" t="s">
        <v>775</v>
      </c>
      <c r="G163" s="16" t="s">
        <v>776</v>
      </c>
      <c r="H163" s="40" t="s">
        <v>96</v>
      </c>
      <c r="I163" s="304">
        <v>44608</v>
      </c>
      <c r="J163" s="301" t="s">
        <v>19</v>
      </c>
    </row>
    <row r="164" spans="1:10" ht="15.5">
      <c r="A164" s="297" t="s">
        <v>777</v>
      </c>
      <c r="B164" s="104" t="s">
        <v>778</v>
      </c>
      <c r="C164" s="305" t="s">
        <v>779</v>
      </c>
      <c r="D164" s="6" t="s">
        <v>780</v>
      </c>
      <c r="E164" s="305">
        <v>17502154742</v>
      </c>
      <c r="F164" s="16" t="s">
        <v>775</v>
      </c>
      <c r="G164" s="16" t="s">
        <v>776</v>
      </c>
      <c r="H164" s="40" t="s">
        <v>96</v>
      </c>
      <c r="I164" s="304">
        <v>44608</v>
      </c>
      <c r="J164" s="301" t="s">
        <v>19</v>
      </c>
    </row>
    <row r="165" spans="1:10" ht="15.5">
      <c r="A165" s="297" t="s">
        <v>781</v>
      </c>
      <c r="B165" s="104" t="s">
        <v>782</v>
      </c>
      <c r="C165" s="305" t="s">
        <v>783</v>
      </c>
      <c r="D165" s="6" t="s">
        <v>784</v>
      </c>
      <c r="E165" s="305">
        <v>19103493358</v>
      </c>
      <c r="F165" s="16" t="s">
        <v>775</v>
      </c>
      <c r="G165" s="16" t="s">
        <v>776</v>
      </c>
      <c r="H165" s="40" t="s">
        <v>96</v>
      </c>
      <c r="I165" s="304">
        <v>44608</v>
      </c>
      <c r="J165" s="301" t="s">
        <v>59</v>
      </c>
    </row>
    <row r="166" spans="1:10" ht="15.5">
      <c r="A166" s="297" t="s">
        <v>785</v>
      </c>
      <c r="B166" s="104" t="s">
        <v>786</v>
      </c>
      <c r="C166" s="305" t="s">
        <v>787</v>
      </c>
      <c r="D166" s="6" t="s">
        <v>788</v>
      </c>
      <c r="E166" s="305">
        <v>18616198825</v>
      </c>
      <c r="F166" s="16" t="s">
        <v>775</v>
      </c>
      <c r="G166" s="16" t="s">
        <v>776</v>
      </c>
      <c r="H166" s="40" t="s">
        <v>96</v>
      </c>
      <c r="I166" s="304">
        <v>44608</v>
      </c>
      <c r="J166" s="301" t="s">
        <v>19</v>
      </c>
    </row>
    <row r="167" spans="1:10" ht="15.5">
      <c r="A167" s="297" t="s">
        <v>789</v>
      </c>
      <c r="B167" s="104" t="s">
        <v>790</v>
      </c>
      <c r="C167" s="305" t="s">
        <v>791</v>
      </c>
      <c r="D167" s="6" t="s">
        <v>792</v>
      </c>
      <c r="E167" s="305">
        <v>15657853181</v>
      </c>
      <c r="F167" s="16" t="s">
        <v>775</v>
      </c>
      <c r="G167" s="16" t="s">
        <v>776</v>
      </c>
      <c r="H167" s="40" t="s">
        <v>96</v>
      </c>
      <c r="I167" s="304">
        <v>44608</v>
      </c>
      <c r="J167" s="301" t="s">
        <v>19</v>
      </c>
    </row>
    <row r="168" spans="1:10" s="123" customFormat="1" ht="18" customHeight="1">
      <c r="A168" s="297" t="s">
        <v>793</v>
      </c>
      <c r="B168" s="104" t="s">
        <v>794</v>
      </c>
      <c r="C168" s="306" t="s">
        <v>795</v>
      </c>
      <c r="D168" s="6" t="s">
        <v>796</v>
      </c>
      <c r="E168" s="306">
        <v>15971609223</v>
      </c>
      <c r="F168" s="16" t="s">
        <v>775</v>
      </c>
      <c r="G168" s="16" t="s">
        <v>776</v>
      </c>
      <c r="H168" s="40" t="s">
        <v>96</v>
      </c>
      <c r="I168" s="304">
        <v>44609</v>
      </c>
      <c r="J168" s="299" t="s">
        <v>59</v>
      </c>
    </row>
    <row r="169" spans="1:10" s="123" customFormat="1" ht="16.5" customHeight="1">
      <c r="A169" s="297" t="s">
        <v>797</v>
      </c>
      <c r="B169" s="104" t="s">
        <v>798</v>
      </c>
      <c r="C169" s="307" t="s">
        <v>799</v>
      </c>
      <c r="D169" s="6" t="s">
        <v>800</v>
      </c>
      <c r="E169" s="308">
        <v>17521244120</v>
      </c>
      <c r="F169" s="16" t="s">
        <v>775</v>
      </c>
      <c r="G169" s="16" t="s">
        <v>776</v>
      </c>
      <c r="H169" s="40" t="s">
        <v>96</v>
      </c>
      <c r="I169" s="304">
        <v>44610</v>
      </c>
      <c r="J169" s="299" t="s">
        <v>59</v>
      </c>
    </row>
    <row r="170" spans="1:10" ht="15.5">
      <c r="A170" s="297" t="s">
        <v>801</v>
      </c>
      <c r="B170" s="104" t="s">
        <v>802</v>
      </c>
      <c r="C170" s="309" t="s">
        <v>803</v>
      </c>
      <c r="D170" s="6" t="s">
        <v>804</v>
      </c>
      <c r="E170" s="309">
        <v>13761026623</v>
      </c>
      <c r="F170" s="16" t="s">
        <v>805</v>
      </c>
      <c r="G170" s="16" t="s">
        <v>806</v>
      </c>
      <c r="H170" s="40" t="s">
        <v>96</v>
      </c>
      <c r="I170" s="304">
        <v>44607</v>
      </c>
      <c r="J170" s="301" t="s">
        <v>19</v>
      </c>
    </row>
    <row r="171" spans="1:10" ht="15.5">
      <c r="A171" s="297" t="s">
        <v>807</v>
      </c>
      <c r="B171" s="104" t="s">
        <v>808</v>
      </c>
      <c r="C171" s="309" t="s">
        <v>809</v>
      </c>
      <c r="D171" s="6" t="s">
        <v>810</v>
      </c>
      <c r="E171" s="309">
        <v>18621781428</v>
      </c>
      <c r="F171" s="16" t="s">
        <v>805</v>
      </c>
      <c r="G171" s="16" t="s">
        <v>806</v>
      </c>
      <c r="H171" s="40" t="s">
        <v>96</v>
      </c>
      <c r="I171" s="304">
        <v>44607</v>
      </c>
      <c r="J171" s="301" t="s">
        <v>19</v>
      </c>
    </row>
    <row r="172" spans="1:10" ht="15.5">
      <c r="A172" s="297" t="s">
        <v>811</v>
      </c>
      <c r="B172" s="104" t="s">
        <v>812</v>
      </c>
      <c r="C172" s="309" t="s">
        <v>813</v>
      </c>
      <c r="D172" s="6" t="s">
        <v>814</v>
      </c>
      <c r="E172" s="309">
        <v>17681337332</v>
      </c>
      <c r="F172" s="16" t="s">
        <v>805</v>
      </c>
      <c r="G172" s="16" t="s">
        <v>806</v>
      </c>
      <c r="H172" s="40" t="s">
        <v>96</v>
      </c>
      <c r="I172" s="304">
        <v>44607</v>
      </c>
      <c r="J172" s="301" t="s">
        <v>59</v>
      </c>
    </row>
    <row r="173" spans="1:10" ht="15.5">
      <c r="A173" s="297" t="s">
        <v>815</v>
      </c>
      <c r="B173" s="104" t="s">
        <v>816</v>
      </c>
      <c r="C173" s="112" t="s">
        <v>817</v>
      </c>
      <c r="D173" s="6" t="s">
        <v>818</v>
      </c>
      <c r="E173" s="310">
        <v>18017568662</v>
      </c>
      <c r="F173" s="16" t="s">
        <v>819</v>
      </c>
      <c r="G173" s="16" t="s">
        <v>820</v>
      </c>
      <c r="H173" s="40" t="s">
        <v>96</v>
      </c>
      <c r="I173" s="304">
        <v>44608</v>
      </c>
      <c r="J173" s="299" t="s">
        <v>19</v>
      </c>
    </row>
    <row r="174" spans="1:10" ht="15.5">
      <c r="A174" s="297" t="s">
        <v>821</v>
      </c>
      <c r="B174" s="104" t="s">
        <v>822</v>
      </c>
      <c r="C174" s="112" t="s">
        <v>823</v>
      </c>
      <c r="D174" s="6" t="s">
        <v>824</v>
      </c>
      <c r="E174" s="310">
        <v>18017569378</v>
      </c>
      <c r="F174" s="16" t="s">
        <v>819</v>
      </c>
      <c r="G174" s="16" t="s">
        <v>820</v>
      </c>
      <c r="H174" s="40" t="s">
        <v>96</v>
      </c>
      <c r="I174" s="304">
        <v>44608</v>
      </c>
      <c r="J174" s="299" t="s">
        <v>19</v>
      </c>
    </row>
    <row r="175" spans="1:10" ht="15.5">
      <c r="A175" s="297" t="s">
        <v>825</v>
      </c>
      <c r="B175" s="104" t="s">
        <v>826</v>
      </c>
      <c r="C175" s="112" t="s">
        <v>827</v>
      </c>
      <c r="D175" s="6" t="s">
        <v>828</v>
      </c>
      <c r="E175" s="310">
        <v>18017568633</v>
      </c>
      <c r="F175" s="16" t="s">
        <v>819</v>
      </c>
      <c r="G175" s="16" t="s">
        <v>820</v>
      </c>
      <c r="H175" s="40" t="s">
        <v>96</v>
      </c>
      <c r="I175" s="304">
        <v>44608</v>
      </c>
      <c r="J175" s="299" t="s">
        <v>19</v>
      </c>
    </row>
    <row r="176" spans="1:10" ht="15.5">
      <c r="A176" s="297" t="s">
        <v>829</v>
      </c>
      <c r="B176" s="104" t="s">
        <v>830</v>
      </c>
      <c r="C176" s="112" t="s">
        <v>831</v>
      </c>
      <c r="D176" s="6" t="s">
        <v>832</v>
      </c>
      <c r="E176" s="310">
        <v>15026588706</v>
      </c>
      <c r="F176" s="16" t="s">
        <v>819</v>
      </c>
      <c r="G176" s="16" t="s">
        <v>820</v>
      </c>
      <c r="H176" s="40" t="s">
        <v>96</v>
      </c>
      <c r="I176" s="304">
        <v>44608</v>
      </c>
      <c r="J176" s="299" t="s">
        <v>59</v>
      </c>
    </row>
    <row r="177" spans="1:10" ht="15.5">
      <c r="A177" s="297" t="s">
        <v>833</v>
      </c>
      <c r="B177" s="104" t="s">
        <v>834</v>
      </c>
      <c r="C177" s="112" t="s">
        <v>835</v>
      </c>
      <c r="D177" s="6" t="s">
        <v>836</v>
      </c>
      <c r="E177" s="310">
        <v>18017568622</v>
      </c>
      <c r="F177" s="16" t="s">
        <v>819</v>
      </c>
      <c r="G177" s="16" t="s">
        <v>820</v>
      </c>
      <c r="H177" s="40" t="s">
        <v>96</v>
      </c>
      <c r="I177" s="304">
        <v>44608</v>
      </c>
      <c r="J177" s="301" t="s">
        <v>19</v>
      </c>
    </row>
    <row r="178" spans="1:10" ht="15.5">
      <c r="A178" s="297" t="s">
        <v>837</v>
      </c>
      <c r="B178" s="104" t="s">
        <v>838</v>
      </c>
      <c r="C178" s="112" t="s">
        <v>839</v>
      </c>
      <c r="D178" s="6" t="s">
        <v>840</v>
      </c>
      <c r="E178" s="310">
        <v>19180532832</v>
      </c>
      <c r="F178" s="16" t="s">
        <v>819</v>
      </c>
      <c r="G178" s="16" t="s">
        <v>820</v>
      </c>
      <c r="H178" s="40" t="s">
        <v>96</v>
      </c>
      <c r="I178" s="304">
        <v>44608</v>
      </c>
      <c r="J178" s="301" t="s">
        <v>19</v>
      </c>
    </row>
    <row r="179" spans="1:10" ht="15.5">
      <c r="A179" s="297" t="s">
        <v>841</v>
      </c>
      <c r="B179" s="104" t="s">
        <v>842</v>
      </c>
      <c r="C179" s="112" t="s">
        <v>843</v>
      </c>
      <c r="D179" s="6" t="s">
        <v>844</v>
      </c>
      <c r="E179" s="310">
        <v>15026608402</v>
      </c>
      <c r="F179" s="16" t="s">
        <v>845</v>
      </c>
      <c r="G179" s="16" t="s">
        <v>846</v>
      </c>
      <c r="H179" s="40" t="s">
        <v>96</v>
      </c>
      <c r="I179" s="304">
        <v>44609</v>
      </c>
      <c r="J179" s="301" t="s">
        <v>59</v>
      </c>
    </row>
    <row r="180" spans="1:10" ht="15.5">
      <c r="A180" s="297" t="s">
        <v>847</v>
      </c>
      <c r="B180" s="104" t="s">
        <v>848</v>
      </c>
      <c r="C180" s="112" t="s">
        <v>849</v>
      </c>
      <c r="D180" s="6" t="s">
        <v>850</v>
      </c>
      <c r="E180" s="310">
        <v>15822801657</v>
      </c>
      <c r="F180" s="16" t="s">
        <v>851</v>
      </c>
      <c r="G180" s="16" t="s">
        <v>852</v>
      </c>
      <c r="H180" s="40" t="s">
        <v>96</v>
      </c>
      <c r="I180" s="304">
        <v>44610</v>
      </c>
      <c r="J180" s="301" t="s">
        <v>59</v>
      </c>
    </row>
    <row r="181" spans="1:10" ht="15.5">
      <c r="A181" s="297" t="s">
        <v>853</v>
      </c>
      <c r="B181" s="104" t="s">
        <v>854</v>
      </c>
      <c r="C181" s="112" t="s">
        <v>855</v>
      </c>
      <c r="D181" s="6" t="s">
        <v>856</v>
      </c>
      <c r="E181" s="310">
        <v>15141739676</v>
      </c>
      <c r="F181" s="16" t="s">
        <v>851</v>
      </c>
      <c r="G181" s="16" t="s">
        <v>852</v>
      </c>
      <c r="H181" s="40" t="s">
        <v>96</v>
      </c>
      <c r="I181" s="304">
        <v>44610</v>
      </c>
      <c r="J181" s="301" t="s">
        <v>59</v>
      </c>
    </row>
    <row r="182" spans="1:10" ht="15.5">
      <c r="A182" s="297" t="s">
        <v>857</v>
      </c>
      <c r="B182" s="104" t="s">
        <v>858</v>
      </c>
      <c r="C182" s="112" t="s">
        <v>859</v>
      </c>
      <c r="D182" s="6" t="s">
        <v>860</v>
      </c>
      <c r="E182" s="310">
        <v>18019780829</v>
      </c>
      <c r="F182" s="16" t="s">
        <v>861</v>
      </c>
      <c r="G182" s="16" t="s">
        <v>862</v>
      </c>
      <c r="H182" s="40" t="s">
        <v>96</v>
      </c>
      <c r="I182" s="304">
        <v>44609</v>
      </c>
      <c r="J182" s="301" t="s">
        <v>19</v>
      </c>
    </row>
    <row r="183" spans="1:10" ht="15.5">
      <c r="A183" s="297" t="s">
        <v>863</v>
      </c>
      <c r="B183" s="104" t="s">
        <v>864</v>
      </c>
      <c r="C183" s="112" t="s">
        <v>865</v>
      </c>
      <c r="D183" s="6" t="s">
        <v>866</v>
      </c>
      <c r="E183" s="310">
        <v>15953101630</v>
      </c>
      <c r="F183" s="16" t="s">
        <v>867</v>
      </c>
      <c r="G183" s="16" t="s">
        <v>868</v>
      </c>
      <c r="H183" s="40" t="s">
        <v>96</v>
      </c>
      <c r="I183" s="304">
        <v>44608</v>
      </c>
      <c r="J183" s="301" t="s">
        <v>19</v>
      </c>
    </row>
    <row r="184" spans="1:10" ht="15.5">
      <c r="A184" s="297" t="s">
        <v>869</v>
      </c>
      <c r="B184" s="104" t="s">
        <v>870</v>
      </c>
      <c r="C184" s="112" t="s">
        <v>871</v>
      </c>
      <c r="D184" s="6" t="s">
        <v>872</v>
      </c>
      <c r="E184" s="310">
        <v>15953196892</v>
      </c>
      <c r="F184" s="16" t="s">
        <v>873</v>
      </c>
      <c r="G184" s="16" t="s">
        <v>874</v>
      </c>
      <c r="H184" s="40" t="s">
        <v>96</v>
      </c>
      <c r="I184" s="304">
        <v>44608</v>
      </c>
      <c r="J184" s="301" t="s">
        <v>59</v>
      </c>
    </row>
    <row r="185" spans="1:10" ht="15.5">
      <c r="A185" s="297" t="s">
        <v>875</v>
      </c>
      <c r="B185" s="104" t="s">
        <v>876</v>
      </c>
      <c r="C185" s="112" t="s">
        <v>877</v>
      </c>
      <c r="D185" s="6" t="s">
        <v>878</v>
      </c>
      <c r="E185" s="310">
        <v>13894849234</v>
      </c>
      <c r="F185" s="16" t="s">
        <v>879</v>
      </c>
      <c r="G185" s="16" t="s">
        <v>880</v>
      </c>
      <c r="H185" s="40" t="s">
        <v>96</v>
      </c>
      <c r="I185" s="304">
        <v>44608</v>
      </c>
      <c r="J185" s="301" t="s">
        <v>19</v>
      </c>
    </row>
    <row r="186" spans="1:10" ht="15.5">
      <c r="A186" s="297" t="s">
        <v>881</v>
      </c>
      <c r="B186" s="104" t="s">
        <v>882</v>
      </c>
      <c r="C186" s="112" t="s">
        <v>883</v>
      </c>
      <c r="D186" s="6" t="s">
        <v>884</v>
      </c>
      <c r="E186" s="310">
        <v>13342261322</v>
      </c>
      <c r="F186" s="16" t="s">
        <v>879</v>
      </c>
      <c r="G186" s="16" t="s">
        <v>880</v>
      </c>
      <c r="H186" s="40" t="s">
        <v>96</v>
      </c>
      <c r="I186" s="304">
        <v>44608</v>
      </c>
      <c r="J186" s="301" t="s">
        <v>59</v>
      </c>
    </row>
    <row r="187" spans="1:10" ht="19" customHeight="1">
      <c r="A187" s="297" t="s">
        <v>885</v>
      </c>
      <c r="B187" s="104" t="s">
        <v>886</v>
      </c>
      <c r="C187" s="112" t="s">
        <v>887</v>
      </c>
      <c r="D187" s="6" t="s">
        <v>888</v>
      </c>
      <c r="E187" s="310">
        <v>18629813722</v>
      </c>
      <c r="F187" s="16" t="s">
        <v>889</v>
      </c>
      <c r="G187" s="16" t="s">
        <v>890</v>
      </c>
      <c r="H187" s="40" t="s">
        <v>96</v>
      </c>
      <c r="I187" s="304">
        <v>44608</v>
      </c>
      <c r="J187" s="301" t="s">
        <v>19</v>
      </c>
    </row>
    <row r="188" spans="1:10" ht="19" customHeight="1">
      <c r="A188" s="297" t="s">
        <v>891</v>
      </c>
      <c r="B188" s="104" t="s">
        <v>892</v>
      </c>
      <c r="C188" s="112" t="s">
        <v>893</v>
      </c>
      <c r="D188" s="6" t="s">
        <v>894</v>
      </c>
      <c r="E188" s="310">
        <v>13840919131</v>
      </c>
      <c r="F188" s="16" t="s">
        <v>889</v>
      </c>
      <c r="G188" s="16" t="s">
        <v>890</v>
      </c>
      <c r="H188" s="40" t="s">
        <v>96</v>
      </c>
      <c r="I188" s="304">
        <v>44608</v>
      </c>
      <c r="J188" s="301" t="s">
        <v>59</v>
      </c>
    </row>
    <row r="189" spans="1:10" ht="15.5">
      <c r="A189" s="297" t="s">
        <v>895</v>
      </c>
      <c r="B189" s="104" t="s">
        <v>896</v>
      </c>
      <c r="C189" s="112" t="s">
        <v>897</v>
      </c>
      <c r="D189" s="6" t="s">
        <v>898</v>
      </c>
      <c r="E189" s="310">
        <v>18800050519</v>
      </c>
      <c r="F189" s="16" t="s">
        <v>899</v>
      </c>
      <c r="G189" s="16" t="s">
        <v>900</v>
      </c>
      <c r="H189" s="40" t="s">
        <v>96</v>
      </c>
      <c r="I189" s="304">
        <v>44608</v>
      </c>
      <c r="J189" s="301" t="s">
        <v>19</v>
      </c>
    </row>
    <row r="190" spans="1:10" ht="15.5">
      <c r="A190" s="297" t="s">
        <v>901</v>
      </c>
      <c r="B190" s="104" t="s">
        <v>902</v>
      </c>
      <c r="C190" s="112" t="s">
        <v>903</v>
      </c>
      <c r="D190" s="6" t="s">
        <v>904</v>
      </c>
      <c r="E190" s="310">
        <v>13541559392</v>
      </c>
      <c r="F190" s="16" t="s">
        <v>899</v>
      </c>
      <c r="G190" s="16" t="s">
        <v>900</v>
      </c>
      <c r="H190" s="40" t="s">
        <v>96</v>
      </c>
      <c r="I190" s="304">
        <v>44608</v>
      </c>
      <c r="J190" s="299"/>
    </row>
    <row r="191" spans="1:10" ht="15.5">
      <c r="A191" s="297" t="s">
        <v>905</v>
      </c>
      <c r="B191" s="104" t="s">
        <v>906</v>
      </c>
      <c r="C191" s="112" t="s">
        <v>907</v>
      </c>
      <c r="D191" s="6" t="s">
        <v>908</v>
      </c>
      <c r="E191" s="310">
        <v>13027723386</v>
      </c>
      <c r="F191" s="16" t="s">
        <v>899</v>
      </c>
      <c r="G191" s="16" t="s">
        <v>900</v>
      </c>
      <c r="H191" s="40" t="s">
        <v>96</v>
      </c>
      <c r="I191" s="304">
        <v>44608</v>
      </c>
      <c r="J191" s="299" t="s">
        <v>19</v>
      </c>
    </row>
    <row r="192" spans="1:10" ht="15.5">
      <c r="A192" s="297" t="s">
        <v>909</v>
      </c>
      <c r="B192" s="104" t="s">
        <v>910</v>
      </c>
      <c r="C192" s="112" t="s">
        <v>911</v>
      </c>
      <c r="D192" s="6" t="s">
        <v>912</v>
      </c>
      <c r="E192" s="310">
        <v>13921750429</v>
      </c>
      <c r="F192" s="16" t="s">
        <v>899</v>
      </c>
      <c r="G192" s="16" t="s">
        <v>900</v>
      </c>
      <c r="H192" s="40" t="s">
        <v>96</v>
      </c>
      <c r="I192" s="304">
        <v>44608</v>
      </c>
      <c r="J192" s="299" t="s">
        <v>59</v>
      </c>
    </row>
    <row r="193" spans="1:10" ht="15.5">
      <c r="A193" s="297" t="s">
        <v>913</v>
      </c>
      <c r="B193" s="104" t="s">
        <v>914</v>
      </c>
      <c r="C193" s="112" t="s">
        <v>915</v>
      </c>
      <c r="D193" s="6" t="s">
        <v>916</v>
      </c>
      <c r="E193" s="310">
        <v>18112148689</v>
      </c>
      <c r="F193" s="16" t="s">
        <v>917</v>
      </c>
      <c r="G193" s="16" t="s">
        <v>918</v>
      </c>
      <c r="H193" s="40" t="s">
        <v>96</v>
      </c>
      <c r="I193" s="304">
        <v>44608</v>
      </c>
      <c r="J193" s="299" t="s">
        <v>59</v>
      </c>
    </row>
    <row r="194" spans="1:10" ht="15.5">
      <c r="A194" s="297" t="s">
        <v>919</v>
      </c>
      <c r="B194" s="104" t="s">
        <v>920</v>
      </c>
      <c r="C194" s="112" t="s">
        <v>921</v>
      </c>
      <c r="D194" s="6" t="s">
        <v>922</v>
      </c>
      <c r="E194" s="310">
        <v>13165288007</v>
      </c>
      <c r="F194" s="16" t="s">
        <v>917</v>
      </c>
      <c r="G194" s="16" t="s">
        <v>918</v>
      </c>
      <c r="H194" s="40" t="s">
        <v>96</v>
      </c>
      <c r="I194" s="304">
        <v>44608</v>
      </c>
      <c r="J194" s="299" t="s">
        <v>59</v>
      </c>
    </row>
    <row r="195" spans="1:10" ht="15.5">
      <c r="A195" s="297" t="s">
        <v>923</v>
      </c>
      <c r="B195" s="104" t="s">
        <v>924</v>
      </c>
      <c r="C195" s="112" t="s">
        <v>925</v>
      </c>
      <c r="D195" s="6" t="s">
        <v>926</v>
      </c>
      <c r="E195" s="310">
        <v>18262229490</v>
      </c>
      <c r="F195" s="16" t="s">
        <v>917</v>
      </c>
      <c r="G195" s="16" t="s">
        <v>918</v>
      </c>
      <c r="H195" s="40" t="s">
        <v>96</v>
      </c>
      <c r="I195" s="304">
        <v>44608</v>
      </c>
      <c r="J195" s="299" t="s">
        <v>59</v>
      </c>
    </row>
    <row r="196" spans="1:10" ht="15.5">
      <c r="A196" s="297" t="s">
        <v>927</v>
      </c>
      <c r="B196" s="104" t="s">
        <v>928</v>
      </c>
      <c r="C196" s="112" t="s">
        <v>929</v>
      </c>
      <c r="D196" s="6" t="s">
        <v>930</v>
      </c>
      <c r="E196" s="310">
        <v>15995269138</v>
      </c>
      <c r="F196" s="16" t="s">
        <v>917</v>
      </c>
      <c r="G196" s="16" t="s">
        <v>918</v>
      </c>
      <c r="H196" s="40" t="s">
        <v>96</v>
      </c>
      <c r="I196" s="304">
        <v>44608</v>
      </c>
      <c r="J196" s="299" t="s">
        <v>59</v>
      </c>
    </row>
    <row r="197" spans="1:10" ht="15.5">
      <c r="A197" s="297" t="s">
        <v>931</v>
      </c>
      <c r="B197" s="104" t="s">
        <v>932</v>
      </c>
      <c r="C197" s="112" t="s">
        <v>933</v>
      </c>
      <c r="D197" s="6" t="s">
        <v>934</v>
      </c>
      <c r="E197" s="310">
        <v>18795888512</v>
      </c>
      <c r="F197" s="16" t="s">
        <v>917</v>
      </c>
      <c r="G197" s="16" t="s">
        <v>918</v>
      </c>
      <c r="H197" s="40" t="s">
        <v>96</v>
      </c>
      <c r="I197" s="304">
        <v>44608</v>
      </c>
      <c r="J197" s="299" t="s">
        <v>59</v>
      </c>
    </row>
    <row r="198" spans="1:10" ht="15.5">
      <c r="A198" s="297" t="s">
        <v>935</v>
      </c>
      <c r="B198" s="104" t="s">
        <v>936</v>
      </c>
      <c r="C198" s="112" t="s">
        <v>937</v>
      </c>
      <c r="D198" s="6" t="s">
        <v>938</v>
      </c>
      <c r="E198" s="310">
        <v>15671540119</v>
      </c>
      <c r="F198" s="16" t="s">
        <v>939</v>
      </c>
      <c r="G198" s="16" t="s">
        <v>940</v>
      </c>
      <c r="H198" s="40" t="s">
        <v>96</v>
      </c>
      <c r="I198" s="304">
        <v>44609</v>
      </c>
      <c r="J198" s="299" t="s">
        <v>59</v>
      </c>
    </row>
    <row r="199" spans="1:10" ht="15.5">
      <c r="A199" s="297" t="s">
        <v>941</v>
      </c>
      <c r="B199" s="104" t="s">
        <v>942</v>
      </c>
      <c r="C199" s="112" t="s">
        <v>943</v>
      </c>
      <c r="D199" s="6" t="s">
        <v>944</v>
      </c>
      <c r="E199" s="310">
        <v>13100710758</v>
      </c>
      <c r="F199" s="16" t="s">
        <v>939</v>
      </c>
      <c r="G199" s="16" t="s">
        <v>940</v>
      </c>
      <c r="H199" s="40" t="s">
        <v>96</v>
      </c>
      <c r="I199" s="304">
        <v>44609</v>
      </c>
      <c r="J199" s="299" t="s">
        <v>59</v>
      </c>
    </row>
    <row r="200" spans="1:10" ht="15.5">
      <c r="A200" s="297" t="s">
        <v>945</v>
      </c>
      <c r="B200" s="104" t="s">
        <v>946</v>
      </c>
      <c r="C200" s="112" t="s">
        <v>947</v>
      </c>
      <c r="D200" s="6" t="s">
        <v>948</v>
      </c>
      <c r="E200" s="310">
        <v>13026384573</v>
      </c>
      <c r="F200" s="16" t="s">
        <v>939</v>
      </c>
      <c r="G200" s="16" t="s">
        <v>940</v>
      </c>
      <c r="H200" s="40" t="s">
        <v>96</v>
      </c>
      <c r="I200" s="304">
        <v>44609</v>
      </c>
      <c r="J200" s="299" t="s">
        <v>19</v>
      </c>
    </row>
    <row r="201" spans="1:10" ht="15.5">
      <c r="A201" s="297" t="s">
        <v>949</v>
      </c>
      <c r="B201" s="104" t="s">
        <v>950</v>
      </c>
      <c r="C201" s="112" t="s">
        <v>951</v>
      </c>
      <c r="D201" s="6" t="s">
        <v>952</v>
      </c>
      <c r="E201" s="310">
        <v>15671603123</v>
      </c>
      <c r="F201" s="16" t="s">
        <v>939</v>
      </c>
      <c r="G201" s="16" t="s">
        <v>940</v>
      </c>
      <c r="H201" s="40" t="s">
        <v>96</v>
      </c>
      <c r="I201" s="304">
        <v>44609</v>
      </c>
      <c r="J201" s="299" t="s">
        <v>19</v>
      </c>
    </row>
    <row r="202" spans="1:10" ht="15.5">
      <c r="A202" s="297" t="s">
        <v>953</v>
      </c>
      <c r="B202" s="104" t="s">
        <v>954</v>
      </c>
      <c r="C202" s="112" t="s">
        <v>955</v>
      </c>
      <c r="D202" s="6" t="s">
        <v>956</v>
      </c>
      <c r="E202" s="310">
        <v>18671938080</v>
      </c>
      <c r="F202" s="16" t="s">
        <v>939</v>
      </c>
      <c r="G202" s="16" t="s">
        <v>940</v>
      </c>
      <c r="H202" s="40" t="s">
        <v>96</v>
      </c>
      <c r="I202" s="304">
        <v>44609</v>
      </c>
      <c r="J202" s="299" t="s">
        <v>59</v>
      </c>
    </row>
    <row r="203" spans="1:10" ht="15.5">
      <c r="A203" s="297" t="s">
        <v>957</v>
      </c>
      <c r="B203" s="104" t="s">
        <v>958</v>
      </c>
      <c r="C203" s="310" t="s">
        <v>959</v>
      </c>
      <c r="D203" s="6" t="s">
        <v>960</v>
      </c>
      <c r="E203" s="310">
        <v>13617193869</v>
      </c>
      <c r="F203" s="16" t="s">
        <v>939</v>
      </c>
      <c r="G203" s="16" t="s">
        <v>940</v>
      </c>
      <c r="H203" s="40" t="s">
        <v>96</v>
      </c>
      <c r="I203" s="304">
        <v>44609</v>
      </c>
      <c r="J203" s="299" t="s">
        <v>19</v>
      </c>
    </row>
    <row r="204" spans="1:10" ht="15.5">
      <c r="A204" s="297" t="s">
        <v>961</v>
      </c>
      <c r="B204" s="104" t="s">
        <v>962</v>
      </c>
      <c r="C204" s="310" t="s">
        <v>963</v>
      </c>
      <c r="D204" s="6" t="s">
        <v>964</v>
      </c>
      <c r="E204" s="310">
        <v>13037108579</v>
      </c>
      <c r="F204" s="16" t="s">
        <v>939</v>
      </c>
      <c r="G204" s="16" t="s">
        <v>940</v>
      </c>
      <c r="H204" s="40" t="s">
        <v>96</v>
      </c>
      <c r="I204" s="304">
        <v>44609</v>
      </c>
      <c r="J204" s="299" t="s">
        <v>59</v>
      </c>
    </row>
    <row r="205" spans="1:10" ht="15.5">
      <c r="A205" s="297" t="s">
        <v>965</v>
      </c>
      <c r="B205" s="104" t="s">
        <v>966</v>
      </c>
      <c r="C205" s="310" t="s">
        <v>967</v>
      </c>
      <c r="D205" s="6" t="s">
        <v>968</v>
      </c>
      <c r="E205" s="311">
        <v>13164635822</v>
      </c>
      <c r="F205" s="16" t="s">
        <v>939</v>
      </c>
      <c r="G205" s="16" t="s">
        <v>940</v>
      </c>
      <c r="H205" s="40" t="s">
        <v>96</v>
      </c>
      <c r="I205" s="304">
        <v>44609</v>
      </c>
      <c r="J205" s="299" t="s">
        <v>59</v>
      </c>
    </row>
    <row r="206" spans="1:10" ht="15.65" customHeight="1">
      <c r="A206" s="297" t="s">
        <v>969</v>
      </c>
      <c r="B206" s="104" t="s">
        <v>970</v>
      </c>
      <c r="C206" s="310" t="s">
        <v>971</v>
      </c>
      <c r="D206" s="6" t="s">
        <v>972</v>
      </c>
      <c r="E206" s="310">
        <v>18964718691</v>
      </c>
      <c r="F206" s="16" t="s">
        <v>861</v>
      </c>
      <c r="G206" s="16" t="s">
        <v>862</v>
      </c>
      <c r="H206" s="40" t="s">
        <v>96</v>
      </c>
      <c r="I206" s="304">
        <v>44609</v>
      </c>
      <c r="J206" s="299"/>
    </row>
    <row r="207" spans="1:10" ht="15.65" customHeight="1">
      <c r="A207" s="297" t="s">
        <v>973</v>
      </c>
      <c r="B207" s="104" t="s">
        <v>974</v>
      </c>
      <c r="C207" s="310" t="s">
        <v>975</v>
      </c>
      <c r="D207" s="6" t="s">
        <v>976</v>
      </c>
      <c r="E207" s="310">
        <v>18919660751</v>
      </c>
      <c r="F207" s="16" t="s">
        <v>861</v>
      </c>
      <c r="G207" s="16" t="s">
        <v>862</v>
      </c>
      <c r="H207" s="40" t="s">
        <v>96</v>
      </c>
      <c r="I207" s="304">
        <v>44609</v>
      </c>
      <c r="J207" s="312" t="s">
        <v>59</v>
      </c>
    </row>
    <row r="208" spans="1:10" ht="18.649999999999999" customHeight="1">
      <c r="A208" s="297" t="s">
        <v>977</v>
      </c>
      <c r="B208" s="104" t="s">
        <v>978</v>
      </c>
      <c r="C208" s="310" t="s">
        <v>979</v>
      </c>
      <c r="D208" s="6" t="s">
        <v>980</v>
      </c>
      <c r="E208" s="310">
        <v>17364749697</v>
      </c>
      <c r="F208" s="16" t="s">
        <v>861</v>
      </c>
      <c r="G208" s="16" t="s">
        <v>862</v>
      </c>
      <c r="H208" s="40" t="s">
        <v>96</v>
      </c>
      <c r="I208" s="304">
        <v>44609</v>
      </c>
      <c r="J208" s="312" t="s">
        <v>59</v>
      </c>
    </row>
    <row r="209" spans="1:10" ht="14.15" customHeight="1">
      <c r="A209" s="297" t="s">
        <v>981</v>
      </c>
      <c r="B209" s="104" t="s">
        <v>982</v>
      </c>
      <c r="C209" s="310" t="s">
        <v>983</v>
      </c>
      <c r="D209" s="6" t="s">
        <v>984</v>
      </c>
      <c r="E209" s="310">
        <v>13621972851</v>
      </c>
      <c r="F209" s="16" t="s">
        <v>861</v>
      </c>
      <c r="G209" s="16" t="s">
        <v>862</v>
      </c>
      <c r="H209" s="40" t="s">
        <v>96</v>
      </c>
      <c r="I209" s="304">
        <v>44609</v>
      </c>
      <c r="J209" s="312" t="s">
        <v>59</v>
      </c>
    </row>
    <row r="210" spans="1:10" ht="18" customHeight="1">
      <c r="A210" s="297" t="s">
        <v>985</v>
      </c>
      <c r="B210" s="104" t="s">
        <v>986</v>
      </c>
      <c r="C210" s="310" t="s">
        <v>987</v>
      </c>
      <c r="D210" s="6" t="s">
        <v>988</v>
      </c>
      <c r="E210" s="310">
        <v>13917748439</v>
      </c>
      <c r="F210" s="16" t="s">
        <v>861</v>
      </c>
      <c r="G210" s="16" t="s">
        <v>862</v>
      </c>
      <c r="H210" s="40" t="s">
        <v>96</v>
      </c>
      <c r="I210" s="304">
        <v>44609</v>
      </c>
      <c r="J210" s="312" t="s">
        <v>59</v>
      </c>
    </row>
    <row r="211" spans="1:10" ht="16.5" customHeight="1">
      <c r="A211" s="297" t="s">
        <v>989</v>
      </c>
      <c r="B211" s="104" t="s">
        <v>990</v>
      </c>
      <c r="C211" s="310" t="s">
        <v>991</v>
      </c>
      <c r="D211" s="6" t="s">
        <v>992</v>
      </c>
      <c r="E211" s="310">
        <v>18913131052</v>
      </c>
      <c r="F211" s="16" t="s">
        <v>861</v>
      </c>
      <c r="G211" s="16" t="s">
        <v>862</v>
      </c>
      <c r="H211" s="40" t="s">
        <v>96</v>
      </c>
      <c r="I211" s="304">
        <v>44609</v>
      </c>
      <c r="J211" s="312" t="s">
        <v>19</v>
      </c>
    </row>
    <row r="212" spans="1:10" ht="15.65" customHeight="1">
      <c r="A212" s="297" t="s">
        <v>993</v>
      </c>
      <c r="B212" s="104" t="s">
        <v>994</v>
      </c>
      <c r="C212" s="310" t="s">
        <v>995</v>
      </c>
      <c r="D212" s="6" t="s">
        <v>996</v>
      </c>
      <c r="E212" s="310">
        <v>18201859743</v>
      </c>
      <c r="F212" s="16" t="s">
        <v>997</v>
      </c>
      <c r="G212" s="16" t="s">
        <v>998</v>
      </c>
      <c r="H212" s="40" t="s">
        <v>96</v>
      </c>
      <c r="I212" s="304">
        <v>44609</v>
      </c>
      <c r="J212" s="299"/>
    </row>
    <row r="213" spans="1:10" ht="15" customHeight="1">
      <c r="A213" s="297" t="s">
        <v>999</v>
      </c>
      <c r="B213" s="104" t="s">
        <v>1000</v>
      </c>
      <c r="C213" s="310" t="s">
        <v>1001</v>
      </c>
      <c r="D213" s="6" t="s">
        <v>1002</v>
      </c>
      <c r="E213" s="310">
        <v>13991676297</v>
      </c>
      <c r="F213" s="16" t="s">
        <v>997</v>
      </c>
      <c r="G213" s="16" t="s">
        <v>998</v>
      </c>
      <c r="H213" s="40" t="s">
        <v>96</v>
      </c>
      <c r="I213" s="304">
        <v>44609</v>
      </c>
      <c r="J213" s="299"/>
    </row>
    <row r="214" spans="1:10" ht="13.5" customHeight="1">
      <c r="A214" s="297" t="s">
        <v>1003</v>
      </c>
      <c r="B214" s="104" t="s">
        <v>1004</v>
      </c>
      <c r="C214" s="310" t="s">
        <v>1005</v>
      </c>
      <c r="D214" s="6" t="s">
        <v>1006</v>
      </c>
      <c r="E214" s="310">
        <v>13821899383</v>
      </c>
      <c r="F214" s="16" t="s">
        <v>997</v>
      </c>
      <c r="G214" s="16" t="s">
        <v>998</v>
      </c>
      <c r="H214" s="40" t="s">
        <v>96</v>
      </c>
      <c r="I214" s="304">
        <v>44609</v>
      </c>
      <c r="J214" s="299"/>
    </row>
    <row r="215" spans="1:10" s="117" customFormat="1" ht="18.5">
      <c r="A215" s="297" t="s">
        <v>1007</v>
      </c>
      <c r="B215" s="104" t="s">
        <v>1008</v>
      </c>
      <c r="C215" s="137" t="s">
        <v>1009</v>
      </c>
      <c r="D215" s="6" t="s">
        <v>1010</v>
      </c>
      <c r="E215" s="138">
        <v>17568934769</v>
      </c>
      <c r="F215" s="16" t="s">
        <v>1011</v>
      </c>
      <c r="G215" s="16" t="s">
        <v>1012</v>
      </c>
      <c r="H215" s="40" t="s">
        <v>96</v>
      </c>
      <c r="I215" s="304">
        <v>44609</v>
      </c>
      <c r="J215" s="299" t="s">
        <v>19</v>
      </c>
    </row>
    <row r="216" spans="1:10" ht="15.5">
      <c r="A216" s="297" t="s">
        <v>1013</v>
      </c>
      <c r="B216" s="104" t="s">
        <v>1014</v>
      </c>
      <c r="C216" s="120" t="s">
        <v>1015</v>
      </c>
      <c r="D216" s="6" t="s">
        <v>1016</v>
      </c>
      <c r="E216" s="139">
        <v>13698614835</v>
      </c>
      <c r="F216" s="16" t="s">
        <v>1017</v>
      </c>
      <c r="G216" s="16" t="s">
        <v>1018</v>
      </c>
      <c r="H216" s="40" t="s">
        <v>96</v>
      </c>
      <c r="I216" s="304">
        <v>44609</v>
      </c>
      <c r="J216" s="299"/>
    </row>
    <row r="217" spans="1:10" ht="15.5">
      <c r="A217" s="297" t="s">
        <v>1019</v>
      </c>
      <c r="B217" s="104" t="s">
        <v>1020</v>
      </c>
      <c r="C217" s="120" t="s">
        <v>1021</v>
      </c>
      <c r="D217" s="6" t="s">
        <v>1022</v>
      </c>
      <c r="E217" s="140">
        <v>18404307050</v>
      </c>
      <c r="F217" s="16" t="s">
        <v>1017</v>
      </c>
      <c r="G217" s="16" t="s">
        <v>1023</v>
      </c>
      <c r="H217" s="40" t="s">
        <v>96</v>
      </c>
      <c r="I217" s="304">
        <v>44609</v>
      </c>
      <c r="J217" s="299" t="s">
        <v>19</v>
      </c>
    </row>
    <row r="218" spans="1:10" ht="15.5">
      <c r="A218" s="297" t="s">
        <v>1024</v>
      </c>
      <c r="B218" s="104" t="s">
        <v>1025</v>
      </c>
      <c r="C218" s="120" t="s">
        <v>1026</v>
      </c>
      <c r="D218" s="6" t="s">
        <v>1027</v>
      </c>
      <c r="E218" s="140">
        <v>13944105483</v>
      </c>
      <c r="F218" s="16" t="s">
        <v>1017</v>
      </c>
      <c r="G218" s="16" t="s">
        <v>1023</v>
      </c>
      <c r="H218" s="40" t="s">
        <v>96</v>
      </c>
      <c r="I218" s="304">
        <v>44609</v>
      </c>
      <c r="J218" s="299" t="s">
        <v>59</v>
      </c>
    </row>
    <row r="219" spans="1:10" ht="15.5">
      <c r="A219" s="297" t="s">
        <v>1028</v>
      </c>
      <c r="B219" s="104" t="s">
        <v>1029</v>
      </c>
      <c r="C219" s="120" t="s">
        <v>1030</v>
      </c>
      <c r="D219" s="6" t="s">
        <v>1031</v>
      </c>
      <c r="E219" s="140">
        <v>17745330610</v>
      </c>
      <c r="F219" s="16" t="s">
        <v>387</v>
      </c>
      <c r="G219" s="16" t="s">
        <v>1023</v>
      </c>
      <c r="H219" s="40" t="s">
        <v>96</v>
      </c>
      <c r="I219" s="304">
        <v>44609</v>
      </c>
      <c r="J219" s="299" t="s">
        <v>59</v>
      </c>
    </row>
    <row r="220" spans="1:10" ht="15.5">
      <c r="A220" s="297" t="s">
        <v>1032</v>
      </c>
      <c r="B220" s="104" t="s">
        <v>1033</v>
      </c>
      <c r="C220" s="120" t="s">
        <v>1034</v>
      </c>
      <c r="D220" s="6" t="s">
        <v>1035</v>
      </c>
      <c r="E220" s="140">
        <v>15948280967</v>
      </c>
      <c r="F220" s="16" t="s">
        <v>1017</v>
      </c>
      <c r="G220" s="16" t="s">
        <v>1023</v>
      </c>
      <c r="H220" s="40" t="s">
        <v>96</v>
      </c>
      <c r="I220" s="304">
        <v>44609</v>
      </c>
      <c r="J220" s="299" t="s">
        <v>19</v>
      </c>
    </row>
    <row r="221" spans="1:10" ht="15.5">
      <c r="A221" s="297" t="s">
        <v>1036</v>
      </c>
      <c r="B221" s="104" t="s">
        <v>1037</v>
      </c>
      <c r="C221" s="120" t="s">
        <v>1038</v>
      </c>
      <c r="D221" s="6" t="s">
        <v>1039</v>
      </c>
      <c r="E221" s="121">
        <v>18501685982</v>
      </c>
      <c r="F221" s="16" t="s">
        <v>1040</v>
      </c>
      <c r="G221" s="16" t="s">
        <v>1041</v>
      </c>
      <c r="H221" s="40" t="s">
        <v>96</v>
      </c>
      <c r="I221" s="304">
        <v>44609</v>
      </c>
      <c r="J221" s="143" t="s">
        <v>19</v>
      </c>
    </row>
    <row r="222" spans="1:10" ht="15.5">
      <c r="A222" s="297" t="s">
        <v>1042</v>
      </c>
      <c r="B222" s="104" t="s">
        <v>1043</v>
      </c>
      <c r="C222" s="120" t="s">
        <v>1044</v>
      </c>
      <c r="D222" s="6" t="s">
        <v>1045</v>
      </c>
      <c r="E222" s="121">
        <v>17682316491</v>
      </c>
      <c r="F222" s="16" t="s">
        <v>1046</v>
      </c>
      <c r="G222" s="16" t="s">
        <v>1047</v>
      </c>
      <c r="H222" s="40" t="s">
        <v>96</v>
      </c>
      <c r="I222" s="304">
        <v>44609</v>
      </c>
      <c r="J222" s="143" t="s">
        <v>19</v>
      </c>
    </row>
    <row r="223" spans="1:10" ht="15.5">
      <c r="A223" s="297" t="s">
        <v>1048</v>
      </c>
      <c r="B223" s="104" t="s">
        <v>1049</v>
      </c>
      <c r="C223" s="120" t="s">
        <v>1050</v>
      </c>
      <c r="D223" s="6" t="s">
        <v>1051</v>
      </c>
      <c r="E223" s="121">
        <v>15850730112</v>
      </c>
      <c r="F223" s="16" t="s">
        <v>1040</v>
      </c>
      <c r="G223" s="16" t="s">
        <v>1041</v>
      </c>
      <c r="H223" s="40" t="s">
        <v>96</v>
      </c>
      <c r="I223" s="304">
        <v>44609</v>
      </c>
      <c r="J223" s="299"/>
    </row>
    <row r="224" spans="1:10" ht="15.5">
      <c r="A224" s="297" t="s">
        <v>1052</v>
      </c>
      <c r="B224" s="104" t="s">
        <v>1053</v>
      </c>
      <c r="C224" s="120" t="s">
        <v>1054</v>
      </c>
      <c r="D224" s="6" t="s">
        <v>1055</v>
      </c>
      <c r="E224" s="121">
        <v>18765492536</v>
      </c>
      <c r="F224" s="16" t="s">
        <v>1046</v>
      </c>
      <c r="G224" s="16" t="s">
        <v>1047</v>
      </c>
      <c r="H224" s="40" t="s">
        <v>96</v>
      </c>
      <c r="I224" s="304">
        <v>44609</v>
      </c>
      <c r="J224" s="143" t="s">
        <v>59</v>
      </c>
    </row>
    <row r="225" spans="1:10" ht="15.5">
      <c r="A225" s="297" t="s">
        <v>1056</v>
      </c>
      <c r="B225" s="104" t="s">
        <v>1057</v>
      </c>
      <c r="C225" s="120" t="s">
        <v>1058</v>
      </c>
      <c r="D225" s="6" t="s">
        <v>1059</v>
      </c>
      <c r="E225" s="141">
        <v>15252060750</v>
      </c>
      <c r="F225" s="16" t="s">
        <v>1060</v>
      </c>
      <c r="G225" s="16" t="s">
        <v>1061</v>
      </c>
      <c r="H225" s="40" t="s">
        <v>96</v>
      </c>
      <c r="I225" s="304">
        <v>44610</v>
      </c>
      <c r="J225" s="143" t="s">
        <v>59</v>
      </c>
    </row>
    <row r="226" spans="1:10" ht="15.5">
      <c r="A226" s="297" t="s">
        <v>1062</v>
      </c>
      <c r="B226" s="104" t="s">
        <v>1063</v>
      </c>
      <c r="C226" s="142" t="s">
        <v>1064</v>
      </c>
      <c r="D226" s="6" t="s">
        <v>1065</v>
      </c>
      <c r="E226" s="141">
        <v>18606268676</v>
      </c>
      <c r="F226" s="16" t="s">
        <v>1060</v>
      </c>
      <c r="G226" s="16" t="s">
        <v>1066</v>
      </c>
      <c r="H226" s="40" t="s">
        <v>96</v>
      </c>
      <c r="I226" s="304">
        <v>44610</v>
      </c>
      <c r="J226" s="143" t="s">
        <v>19</v>
      </c>
    </row>
    <row r="227" spans="1:10" ht="15.5">
      <c r="A227" s="297" t="s">
        <v>1067</v>
      </c>
      <c r="B227" s="104" t="s">
        <v>1068</v>
      </c>
      <c r="C227" s="142" t="s">
        <v>1069</v>
      </c>
      <c r="D227" s="6" t="s">
        <v>1070</v>
      </c>
      <c r="E227" s="141" t="s">
        <v>1071</v>
      </c>
      <c r="F227" s="16" t="s">
        <v>1072</v>
      </c>
      <c r="G227" s="16" t="s">
        <v>1073</v>
      </c>
      <c r="H227" s="40" t="s">
        <v>96</v>
      </c>
      <c r="I227" s="304">
        <v>44610</v>
      </c>
      <c r="J227" s="143" t="s">
        <v>19</v>
      </c>
    </row>
    <row r="228" spans="1:10" ht="15.5">
      <c r="A228" s="297" t="s">
        <v>1074</v>
      </c>
      <c r="B228" s="104" t="s">
        <v>1075</v>
      </c>
      <c r="C228" s="142" t="s">
        <v>1076</v>
      </c>
      <c r="D228" s="6" t="s">
        <v>1077</v>
      </c>
      <c r="E228" s="141" t="s">
        <v>1078</v>
      </c>
      <c r="F228" s="16" t="s">
        <v>1072</v>
      </c>
      <c r="G228" s="16" t="s">
        <v>1079</v>
      </c>
      <c r="H228" s="40" t="s">
        <v>96</v>
      </c>
      <c r="I228" s="304">
        <v>44610</v>
      </c>
      <c r="J228" s="143" t="s">
        <v>19</v>
      </c>
    </row>
    <row r="229" spans="1:10" ht="15.5">
      <c r="A229" s="297" t="s">
        <v>1080</v>
      </c>
      <c r="B229" s="104" t="s">
        <v>1081</v>
      </c>
      <c r="C229" s="142" t="s">
        <v>1082</v>
      </c>
      <c r="D229" s="6" t="s">
        <v>1083</v>
      </c>
      <c r="E229" s="141" t="s">
        <v>1084</v>
      </c>
      <c r="F229" s="16" t="s">
        <v>1072</v>
      </c>
      <c r="G229" s="16" t="s">
        <v>1073</v>
      </c>
      <c r="H229" s="40" t="s">
        <v>96</v>
      </c>
      <c r="I229" s="304">
        <v>44610</v>
      </c>
      <c r="J229" s="143" t="s">
        <v>19</v>
      </c>
    </row>
    <row r="230" spans="1:10" ht="15.5">
      <c r="A230" s="297" t="s">
        <v>1085</v>
      </c>
      <c r="B230" s="104" t="s">
        <v>1086</v>
      </c>
      <c r="C230" s="142" t="s">
        <v>1087</v>
      </c>
      <c r="D230" s="6" t="s">
        <v>1088</v>
      </c>
      <c r="E230" s="141" t="s">
        <v>1089</v>
      </c>
      <c r="F230" s="16" t="s">
        <v>1072</v>
      </c>
      <c r="G230" s="16" t="s">
        <v>1073</v>
      </c>
      <c r="H230" s="40" t="s">
        <v>96</v>
      </c>
      <c r="I230" s="304">
        <v>44610</v>
      </c>
      <c r="J230" s="143" t="s">
        <v>19</v>
      </c>
    </row>
    <row r="231" spans="1:10" ht="15.5">
      <c r="A231" s="297" t="s">
        <v>1090</v>
      </c>
      <c r="B231" s="104" t="s">
        <v>1091</v>
      </c>
      <c r="C231" s="112" t="s">
        <v>1092</v>
      </c>
      <c r="D231" s="6" t="s">
        <v>1093</v>
      </c>
      <c r="E231" s="141" t="s">
        <v>1094</v>
      </c>
      <c r="F231" s="16" t="s">
        <v>1072</v>
      </c>
      <c r="G231" s="16" t="s">
        <v>1073</v>
      </c>
      <c r="H231" s="40" t="s">
        <v>96</v>
      </c>
      <c r="I231" s="304">
        <v>44610</v>
      </c>
      <c r="J231" s="143" t="s">
        <v>19</v>
      </c>
    </row>
    <row r="232" spans="1:10" ht="15.5">
      <c r="A232" s="297" t="s">
        <v>1095</v>
      </c>
      <c r="B232" s="104" t="s">
        <v>1096</v>
      </c>
      <c r="C232" s="313" t="s">
        <v>1097</v>
      </c>
      <c r="D232" s="6" t="s">
        <v>1098</v>
      </c>
      <c r="E232" s="141" t="s">
        <v>1099</v>
      </c>
      <c r="F232" s="16" t="s">
        <v>1072</v>
      </c>
      <c r="G232" s="16" t="s">
        <v>1073</v>
      </c>
      <c r="H232" s="40" t="s">
        <v>96</v>
      </c>
      <c r="I232" s="304">
        <v>44610</v>
      </c>
      <c r="J232" s="143" t="s">
        <v>19</v>
      </c>
    </row>
    <row r="233" spans="1:10">
      <c r="A233" s="314"/>
      <c r="B233" s="181"/>
      <c r="C233" s="181"/>
      <c r="D233" s="21"/>
      <c r="E233" s="181"/>
      <c r="F233" s="181"/>
      <c r="G233" s="181"/>
      <c r="I233" s="275"/>
      <c r="J233" s="181"/>
    </row>
    <row r="234" spans="1:10" ht="16">
      <c r="A234" s="297" t="s">
        <v>11</v>
      </c>
      <c r="B234" s="26" t="s">
        <v>1100</v>
      </c>
      <c r="C234" s="26" t="s">
        <v>1101</v>
      </c>
      <c r="D234" s="163" t="s">
        <v>1102</v>
      </c>
      <c r="E234" s="16"/>
      <c r="F234" s="28" t="s">
        <v>755</v>
      </c>
      <c r="G234" s="16"/>
      <c r="H234" s="145" t="s">
        <v>1103</v>
      </c>
      <c r="I234" s="170" t="s">
        <v>1104</v>
      </c>
      <c r="J234" s="16" t="s">
        <v>1105</v>
      </c>
    </row>
    <row r="235" spans="1:10" ht="16">
      <c r="A235" s="297" t="s">
        <v>20</v>
      </c>
      <c r="B235" s="26" t="s">
        <v>1106</v>
      </c>
      <c r="C235" s="26" t="s">
        <v>1107</v>
      </c>
      <c r="D235" s="163" t="s">
        <v>1108</v>
      </c>
      <c r="E235" s="16"/>
      <c r="F235" s="28" t="s">
        <v>755</v>
      </c>
      <c r="G235" s="16"/>
      <c r="H235" s="145" t="s">
        <v>1103</v>
      </c>
      <c r="I235" s="170" t="s">
        <v>1104</v>
      </c>
      <c r="J235" s="16" t="s">
        <v>1105</v>
      </c>
    </row>
    <row r="236" spans="1:10" ht="16">
      <c r="A236" s="297" t="s">
        <v>25</v>
      </c>
      <c r="B236" s="26" t="s">
        <v>1109</v>
      </c>
      <c r="C236" s="26" t="s">
        <v>1110</v>
      </c>
      <c r="D236" s="163" t="s">
        <v>1111</v>
      </c>
      <c r="E236" s="16"/>
      <c r="F236" s="28" t="s">
        <v>755</v>
      </c>
      <c r="G236" s="16"/>
      <c r="H236" s="145" t="s">
        <v>1103</v>
      </c>
      <c r="I236" s="170" t="s">
        <v>1104</v>
      </c>
      <c r="J236" s="16" t="s">
        <v>1105</v>
      </c>
    </row>
    <row r="237" spans="1:10" ht="16">
      <c r="A237" s="297" t="s">
        <v>30</v>
      </c>
      <c r="B237" s="26" t="s">
        <v>1112</v>
      </c>
      <c r="C237" s="26" t="s">
        <v>1113</v>
      </c>
      <c r="D237" s="163" t="s">
        <v>1114</v>
      </c>
      <c r="E237" s="16"/>
      <c r="F237" s="28" t="s">
        <v>742</v>
      </c>
      <c r="G237" s="16"/>
      <c r="H237" s="145" t="s">
        <v>1103</v>
      </c>
      <c r="I237" s="170" t="s">
        <v>1104</v>
      </c>
      <c r="J237" s="16" t="s">
        <v>1105</v>
      </c>
    </row>
    <row r="238" spans="1:10" ht="16">
      <c r="A238" s="297" t="s">
        <v>34</v>
      </c>
      <c r="B238" s="26" t="s">
        <v>1115</v>
      </c>
      <c r="C238" s="315" t="s">
        <v>1116</v>
      </c>
      <c r="D238" s="316" t="s">
        <v>1117</v>
      </c>
      <c r="E238" s="16"/>
      <c r="F238" s="167" t="s">
        <v>742</v>
      </c>
      <c r="G238" s="16"/>
      <c r="H238" s="145" t="s">
        <v>1103</v>
      </c>
      <c r="I238" s="170" t="s">
        <v>1104</v>
      </c>
      <c r="J238" s="16" t="s">
        <v>1105</v>
      </c>
    </row>
    <row r="239" spans="1:10" ht="16">
      <c r="A239" s="297" t="s">
        <v>40</v>
      </c>
      <c r="B239" s="26" t="s">
        <v>1118</v>
      </c>
      <c r="C239" s="315" t="s">
        <v>1119</v>
      </c>
      <c r="D239" s="316" t="s">
        <v>1120</v>
      </c>
      <c r="E239" s="16"/>
      <c r="F239" s="167" t="s">
        <v>742</v>
      </c>
      <c r="G239" s="16"/>
      <c r="H239" s="145" t="s">
        <v>1103</v>
      </c>
      <c r="I239" s="170" t="s">
        <v>1104</v>
      </c>
      <c r="J239" s="16" t="s">
        <v>1105</v>
      </c>
    </row>
    <row r="240" spans="1:10" ht="16">
      <c r="A240" s="297" t="s">
        <v>45</v>
      </c>
      <c r="B240" s="26" t="s">
        <v>1121</v>
      </c>
      <c r="C240" s="315" t="s">
        <v>1122</v>
      </c>
      <c r="D240" s="316" t="s">
        <v>1123</v>
      </c>
      <c r="E240" s="16"/>
      <c r="F240" s="167" t="s">
        <v>742</v>
      </c>
      <c r="G240" s="16"/>
      <c r="H240" s="145" t="s">
        <v>1103</v>
      </c>
      <c r="I240" s="170" t="s">
        <v>1104</v>
      </c>
      <c r="J240" s="16" t="s">
        <v>1105</v>
      </c>
    </row>
    <row r="241" spans="1:10" ht="16">
      <c r="A241" s="297" t="s">
        <v>49</v>
      </c>
      <c r="B241" s="26" t="s">
        <v>1124</v>
      </c>
      <c r="C241" s="315" t="s">
        <v>1125</v>
      </c>
      <c r="D241" s="316" t="s">
        <v>1126</v>
      </c>
      <c r="E241" s="16"/>
      <c r="F241" s="167" t="s">
        <v>742</v>
      </c>
      <c r="G241" s="16"/>
      <c r="H241" s="145" t="s">
        <v>1103</v>
      </c>
      <c r="I241" s="170" t="s">
        <v>1104</v>
      </c>
      <c r="J241" s="16" t="s">
        <v>1105</v>
      </c>
    </row>
    <row r="242" spans="1:10" ht="16">
      <c r="A242" s="297" t="s">
        <v>53</v>
      </c>
      <c r="B242" s="26" t="s">
        <v>1127</v>
      </c>
      <c r="C242" s="315" t="s">
        <v>1128</v>
      </c>
      <c r="D242" s="316" t="s">
        <v>1129</v>
      </c>
      <c r="E242" s="16"/>
      <c r="F242" s="167" t="s">
        <v>742</v>
      </c>
      <c r="G242" s="16"/>
      <c r="H242" s="145" t="s">
        <v>1103</v>
      </c>
      <c r="I242" s="170" t="s">
        <v>1104</v>
      </c>
      <c r="J242" s="16" t="s">
        <v>1105</v>
      </c>
    </row>
    <row r="243" spans="1:10" ht="16">
      <c r="A243" s="297" t="s">
        <v>60</v>
      </c>
      <c r="B243" s="26" t="s">
        <v>1130</v>
      </c>
      <c r="C243" s="315" t="s">
        <v>1131</v>
      </c>
      <c r="D243" s="316" t="s">
        <v>1132</v>
      </c>
      <c r="E243" s="16"/>
      <c r="F243" s="167" t="s">
        <v>742</v>
      </c>
      <c r="G243" s="16"/>
      <c r="H243" s="145" t="s">
        <v>1103</v>
      </c>
      <c r="I243" s="170" t="s">
        <v>1104</v>
      </c>
      <c r="J243" s="16" t="s">
        <v>1105</v>
      </c>
    </row>
    <row r="244" spans="1:10" ht="16">
      <c r="A244" s="297" t="s">
        <v>64</v>
      </c>
      <c r="B244" s="26" t="s">
        <v>822</v>
      </c>
      <c r="C244" s="315" t="s">
        <v>1133</v>
      </c>
      <c r="D244" s="316" t="s">
        <v>1134</v>
      </c>
      <c r="E244" s="16"/>
      <c r="F244" s="167" t="s">
        <v>819</v>
      </c>
      <c r="G244" s="16"/>
      <c r="H244" s="145" t="s">
        <v>1103</v>
      </c>
      <c r="I244" s="170" t="s">
        <v>1104</v>
      </c>
      <c r="J244" s="16" t="s">
        <v>1105</v>
      </c>
    </row>
    <row r="245" spans="1:10" ht="16">
      <c r="A245" s="297" t="s">
        <v>69</v>
      </c>
      <c r="B245" s="26" t="s">
        <v>1135</v>
      </c>
      <c r="C245" s="315" t="s">
        <v>1136</v>
      </c>
      <c r="D245" s="316" t="s">
        <v>1137</v>
      </c>
      <c r="E245" s="16"/>
      <c r="F245" s="167" t="s">
        <v>879</v>
      </c>
      <c r="G245" s="16"/>
      <c r="H245" s="145" t="s">
        <v>1103</v>
      </c>
      <c r="I245" s="170" t="s">
        <v>1104</v>
      </c>
      <c r="J245" s="16" t="s">
        <v>1105</v>
      </c>
    </row>
    <row r="246" spans="1:10" ht="16">
      <c r="A246" s="297" t="s">
        <v>74</v>
      </c>
      <c r="B246" s="26" t="s">
        <v>1138</v>
      </c>
      <c r="C246" s="315" t="s">
        <v>1139</v>
      </c>
      <c r="D246" s="316" t="s">
        <v>1140</v>
      </c>
      <c r="E246" s="16"/>
      <c r="F246" s="167" t="s">
        <v>1141</v>
      </c>
      <c r="G246" s="16"/>
      <c r="H246" s="145" t="s">
        <v>1103</v>
      </c>
      <c r="I246" s="170" t="s">
        <v>1104</v>
      </c>
      <c r="J246" s="16" t="s">
        <v>1105</v>
      </c>
    </row>
    <row r="247" spans="1:10" ht="16">
      <c r="A247" s="297" t="s">
        <v>79</v>
      </c>
      <c r="B247" s="26" t="s">
        <v>1142</v>
      </c>
      <c r="C247" s="315" t="s">
        <v>1143</v>
      </c>
      <c r="D247" s="316" t="s">
        <v>1144</v>
      </c>
      <c r="E247" s="16"/>
      <c r="F247" s="167" t="s">
        <v>1141</v>
      </c>
      <c r="G247" s="16"/>
      <c r="H247" s="145" t="s">
        <v>1103</v>
      </c>
      <c r="I247" s="170" t="s">
        <v>1104</v>
      </c>
      <c r="J247" s="16" t="s">
        <v>1105</v>
      </c>
    </row>
    <row r="248" spans="1:10" ht="16">
      <c r="A248" s="297" t="s">
        <v>85</v>
      </c>
      <c r="B248" s="26" t="s">
        <v>1145</v>
      </c>
      <c r="C248" s="317" t="s">
        <v>1146</v>
      </c>
      <c r="D248" s="318" t="s">
        <v>1147</v>
      </c>
      <c r="E248" s="16"/>
      <c r="F248" s="168" t="s">
        <v>1141</v>
      </c>
      <c r="G248" s="16"/>
      <c r="H248" s="145" t="s">
        <v>1103</v>
      </c>
      <c r="I248" s="170" t="s">
        <v>1104</v>
      </c>
      <c r="J248" s="16" t="s">
        <v>1105</v>
      </c>
    </row>
    <row r="249" spans="1:10" ht="16">
      <c r="A249" s="297" t="s">
        <v>89</v>
      </c>
      <c r="B249" s="26" t="s">
        <v>1148</v>
      </c>
      <c r="C249" s="317" t="s">
        <v>1149</v>
      </c>
      <c r="D249" s="318" t="s">
        <v>1150</v>
      </c>
      <c r="E249" s="16"/>
      <c r="F249" s="168" t="s">
        <v>1141</v>
      </c>
      <c r="G249" s="16"/>
      <c r="H249" s="145" t="s">
        <v>1103</v>
      </c>
      <c r="I249" s="170" t="s">
        <v>1104</v>
      </c>
      <c r="J249" s="16" t="s">
        <v>1105</v>
      </c>
    </row>
    <row r="250" spans="1:10" ht="16">
      <c r="A250" s="297" t="s">
        <v>97</v>
      </c>
      <c r="B250" s="26" t="s">
        <v>1151</v>
      </c>
      <c r="C250" s="317" t="s">
        <v>1152</v>
      </c>
      <c r="D250" s="318" t="s">
        <v>1153</v>
      </c>
      <c r="E250" s="16"/>
      <c r="F250" s="168" t="s">
        <v>1141</v>
      </c>
      <c r="G250" s="16"/>
      <c r="H250" s="145" t="s">
        <v>1103</v>
      </c>
      <c r="I250" s="170" t="s">
        <v>1104</v>
      </c>
      <c r="J250" s="16" t="s">
        <v>1105</v>
      </c>
    </row>
    <row r="251" spans="1:10" ht="16">
      <c r="A251" s="297" t="s">
        <v>102</v>
      </c>
      <c r="B251" s="26" t="s">
        <v>1154</v>
      </c>
      <c r="C251" s="317" t="s">
        <v>1155</v>
      </c>
      <c r="D251" s="318" t="s">
        <v>1156</v>
      </c>
      <c r="E251" s="16"/>
      <c r="F251" s="168" t="s">
        <v>1141</v>
      </c>
      <c r="G251" s="16"/>
      <c r="H251" s="145" t="s">
        <v>1103</v>
      </c>
      <c r="I251" s="170" t="s">
        <v>1104</v>
      </c>
      <c r="J251" s="16" t="s">
        <v>1157</v>
      </c>
    </row>
    <row r="252" spans="1:10" ht="16">
      <c r="A252" s="297" t="s">
        <v>107</v>
      </c>
      <c r="B252" s="26" t="s">
        <v>1158</v>
      </c>
      <c r="C252" s="317" t="s">
        <v>1159</v>
      </c>
      <c r="D252" s="318" t="s">
        <v>1160</v>
      </c>
      <c r="E252" s="16"/>
      <c r="F252" s="168" t="s">
        <v>1141</v>
      </c>
      <c r="G252" s="16"/>
      <c r="H252" s="145" t="s">
        <v>1103</v>
      </c>
      <c r="I252" s="170" t="s">
        <v>1104</v>
      </c>
      <c r="J252" s="16" t="s">
        <v>1105</v>
      </c>
    </row>
    <row r="253" spans="1:10" ht="16">
      <c r="A253" s="297" t="s">
        <v>112</v>
      </c>
      <c r="B253" s="26" t="s">
        <v>1161</v>
      </c>
      <c r="C253" s="317" t="s">
        <v>1162</v>
      </c>
      <c r="D253" s="318" t="s">
        <v>1163</v>
      </c>
      <c r="E253" s="16"/>
      <c r="F253" s="168" t="s">
        <v>641</v>
      </c>
      <c r="G253" s="16"/>
      <c r="H253" s="145" t="s">
        <v>1103</v>
      </c>
      <c r="I253" s="170" t="s">
        <v>1164</v>
      </c>
      <c r="J253" s="16" t="s">
        <v>1105</v>
      </c>
    </row>
    <row r="254" spans="1:10" ht="16">
      <c r="A254" s="297" t="s">
        <v>117</v>
      </c>
      <c r="B254" s="26" t="s">
        <v>1165</v>
      </c>
      <c r="C254" s="317" t="s">
        <v>1166</v>
      </c>
      <c r="D254" s="318" t="s">
        <v>1167</v>
      </c>
      <c r="E254" s="16"/>
      <c r="F254" s="168" t="s">
        <v>641</v>
      </c>
      <c r="G254" s="16"/>
      <c r="H254" s="145" t="s">
        <v>1103</v>
      </c>
      <c r="I254" s="170" t="s">
        <v>1164</v>
      </c>
      <c r="J254" s="16" t="s">
        <v>1105</v>
      </c>
    </row>
    <row r="255" spans="1:10" ht="16">
      <c r="A255" s="297" t="s">
        <v>122</v>
      </c>
      <c r="B255" s="26" t="s">
        <v>1168</v>
      </c>
      <c r="C255" s="317" t="s">
        <v>1169</v>
      </c>
      <c r="D255" s="318" t="s">
        <v>1170</v>
      </c>
      <c r="E255" s="16"/>
      <c r="F255" s="168" t="s">
        <v>1171</v>
      </c>
      <c r="G255" s="16"/>
      <c r="H255" s="145" t="s">
        <v>1103</v>
      </c>
      <c r="I255" s="170" t="s">
        <v>1164</v>
      </c>
      <c r="J255" s="16" t="s">
        <v>1105</v>
      </c>
    </row>
    <row r="256" spans="1:10" ht="16">
      <c r="A256" s="297" t="s">
        <v>126</v>
      </c>
      <c r="B256" s="26" t="s">
        <v>1172</v>
      </c>
      <c r="C256" s="317" t="s">
        <v>1173</v>
      </c>
      <c r="D256" s="318" t="s">
        <v>1174</v>
      </c>
      <c r="E256" s="16"/>
      <c r="F256" s="168" t="s">
        <v>1171</v>
      </c>
      <c r="G256" s="16"/>
      <c r="H256" s="145" t="s">
        <v>1103</v>
      </c>
      <c r="I256" s="170" t="s">
        <v>1164</v>
      </c>
      <c r="J256" s="16" t="s">
        <v>1105</v>
      </c>
    </row>
    <row r="257" spans="1:10" ht="16">
      <c r="A257" s="297" t="s">
        <v>131</v>
      </c>
      <c r="B257" s="26" t="s">
        <v>1175</v>
      </c>
      <c r="C257" s="317" t="s">
        <v>1176</v>
      </c>
      <c r="D257" s="318" t="s">
        <v>1177</v>
      </c>
      <c r="E257" s="16"/>
      <c r="F257" s="168" t="s">
        <v>1171</v>
      </c>
      <c r="G257" s="16"/>
      <c r="H257" s="145" t="s">
        <v>1103</v>
      </c>
      <c r="I257" s="170" t="s">
        <v>1164</v>
      </c>
      <c r="J257" s="16" t="s">
        <v>1105</v>
      </c>
    </row>
    <row r="258" spans="1:10" ht="16">
      <c r="A258" s="297" t="s">
        <v>135</v>
      </c>
      <c r="B258" s="26" t="s">
        <v>1178</v>
      </c>
      <c r="C258" s="317" t="s">
        <v>1179</v>
      </c>
      <c r="D258" s="318" t="s">
        <v>1180</v>
      </c>
      <c r="E258" s="16"/>
      <c r="F258" s="168" t="s">
        <v>1171</v>
      </c>
      <c r="G258" s="16"/>
      <c r="H258" s="145" t="s">
        <v>1103</v>
      </c>
      <c r="I258" s="170" t="s">
        <v>1164</v>
      </c>
      <c r="J258" s="16" t="s">
        <v>1157</v>
      </c>
    </row>
    <row r="259" spans="1:10" ht="16">
      <c r="A259" s="297" t="s">
        <v>140</v>
      </c>
      <c r="B259" s="26" t="s">
        <v>1181</v>
      </c>
      <c r="C259" s="143" t="s">
        <v>1182</v>
      </c>
      <c r="D259" s="125" t="s">
        <v>1183</v>
      </c>
      <c r="E259" s="16"/>
      <c r="F259" s="169" t="s">
        <v>1171</v>
      </c>
      <c r="G259" s="16"/>
      <c r="H259" s="145" t="s">
        <v>1103</v>
      </c>
      <c r="I259" s="170" t="s">
        <v>1164</v>
      </c>
      <c r="J259" s="16" t="s">
        <v>1105</v>
      </c>
    </row>
    <row r="260" spans="1:10" ht="16">
      <c r="A260" s="297" t="s">
        <v>145</v>
      </c>
      <c r="B260" s="26" t="s">
        <v>1184</v>
      </c>
      <c r="C260" s="143" t="s">
        <v>1185</v>
      </c>
      <c r="D260" s="125" t="s">
        <v>1186</v>
      </c>
      <c r="E260" s="16"/>
      <c r="F260" s="169" t="s">
        <v>1171</v>
      </c>
      <c r="G260" s="16"/>
      <c r="H260" s="145" t="s">
        <v>1103</v>
      </c>
      <c r="I260" s="170" t="s">
        <v>1164</v>
      </c>
      <c r="J260" s="16" t="s">
        <v>1105</v>
      </c>
    </row>
    <row r="261" spans="1:10" ht="16">
      <c r="A261" s="297" t="s">
        <v>150</v>
      </c>
      <c r="B261" s="26" t="s">
        <v>1187</v>
      </c>
      <c r="C261" s="164" t="s">
        <v>1188</v>
      </c>
      <c r="D261" s="165" t="s">
        <v>1189</v>
      </c>
      <c r="E261" s="16"/>
      <c r="F261" s="169" t="s">
        <v>1171</v>
      </c>
      <c r="G261" s="16"/>
      <c r="H261" s="145" t="s">
        <v>1103</v>
      </c>
      <c r="I261" s="170" t="s">
        <v>1164</v>
      </c>
      <c r="J261" s="16" t="s">
        <v>1105</v>
      </c>
    </row>
    <row r="262" spans="1:10" ht="16">
      <c r="A262" s="297" t="s">
        <v>155</v>
      </c>
      <c r="B262" s="26" t="s">
        <v>1190</v>
      </c>
      <c r="C262" s="301" t="s">
        <v>1191</v>
      </c>
      <c r="D262" s="166" t="s">
        <v>1192</v>
      </c>
      <c r="E262" s="16"/>
      <c r="F262" s="309" t="s">
        <v>1193</v>
      </c>
      <c r="G262" s="16"/>
      <c r="H262" s="145" t="s">
        <v>1103</v>
      </c>
      <c r="I262" s="170" t="s">
        <v>1164</v>
      </c>
      <c r="J262" s="16" t="s">
        <v>1157</v>
      </c>
    </row>
    <row r="263" spans="1:10" ht="16">
      <c r="A263" s="297" t="s">
        <v>160</v>
      </c>
      <c r="B263" s="26" t="s">
        <v>1037</v>
      </c>
      <c r="C263" s="301" t="s">
        <v>1194</v>
      </c>
      <c r="D263" s="318" t="s">
        <v>1195</v>
      </c>
      <c r="E263" s="16"/>
      <c r="F263" s="309" t="s">
        <v>1193</v>
      </c>
      <c r="G263" s="16"/>
      <c r="H263" s="145" t="s">
        <v>1103</v>
      </c>
      <c r="I263" s="170" t="s">
        <v>1164</v>
      </c>
      <c r="J263" s="16" t="s">
        <v>1157</v>
      </c>
    </row>
    <row r="264" spans="1:10" ht="16">
      <c r="A264" s="297" t="s">
        <v>165</v>
      </c>
      <c r="B264" s="26" t="s">
        <v>1196</v>
      </c>
      <c r="C264" s="301" t="s">
        <v>1197</v>
      </c>
      <c r="D264" s="319" t="s">
        <v>1198</v>
      </c>
      <c r="E264" s="16"/>
      <c r="F264" s="309" t="s">
        <v>1193</v>
      </c>
      <c r="G264" s="16"/>
      <c r="H264" s="145" t="s">
        <v>1103</v>
      </c>
      <c r="I264" s="170" t="s">
        <v>1164</v>
      </c>
      <c r="J264" s="16" t="s">
        <v>1157</v>
      </c>
    </row>
    <row r="265" spans="1:10" ht="16">
      <c r="A265" s="297" t="s">
        <v>170</v>
      </c>
      <c r="B265" s="26" t="s">
        <v>1199</v>
      </c>
      <c r="C265" s="301" t="s">
        <v>1200</v>
      </c>
      <c r="D265" s="319" t="s">
        <v>1201</v>
      </c>
      <c r="E265" s="16"/>
      <c r="F265" s="309" t="s">
        <v>1193</v>
      </c>
      <c r="G265" s="16"/>
      <c r="H265" s="145" t="s">
        <v>1103</v>
      </c>
      <c r="I265" s="170" t="s">
        <v>1164</v>
      </c>
      <c r="J265" s="16" t="s">
        <v>1105</v>
      </c>
    </row>
    <row r="266" spans="1:10" ht="16">
      <c r="A266" s="297" t="s">
        <v>175</v>
      </c>
      <c r="B266" s="26" t="s">
        <v>1202</v>
      </c>
      <c r="C266" s="301" t="s">
        <v>1203</v>
      </c>
      <c r="D266" s="319" t="s">
        <v>1204</v>
      </c>
      <c r="E266" s="16"/>
      <c r="F266" s="309" t="s">
        <v>755</v>
      </c>
      <c r="G266" s="16"/>
      <c r="H266" s="145" t="s">
        <v>1103</v>
      </c>
      <c r="I266" s="170" t="s">
        <v>1164</v>
      </c>
      <c r="J266" s="16" t="s">
        <v>1105</v>
      </c>
    </row>
    <row r="267" spans="1:10" ht="16">
      <c r="A267" s="297" t="s">
        <v>180</v>
      </c>
      <c r="B267" s="26" t="s">
        <v>1205</v>
      </c>
      <c r="C267" s="301" t="s">
        <v>1206</v>
      </c>
      <c r="D267" s="319" t="s">
        <v>1207</v>
      </c>
      <c r="E267" s="16"/>
      <c r="F267" s="309" t="s">
        <v>755</v>
      </c>
      <c r="G267" s="16"/>
      <c r="H267" s="145" t="s">
        <v>1103</v>
      </c>
      <c r="I267" s="170" t="s">
        <v>1164</v>
      </c>
      <c r="J267" s="16" t="s">
        <v>1105</v>
      </c>
    </row>
    <row r="268" spans="1:10" ht="16">
      <c r="A268" s="297" t="s">
        <v>185</v>
      </c>
      <c r="B268" s="26" t="s">
        <v>1208</v>
      </c>
      <c r="C268" s="301" t="s">
        <v>1209</v>
      </c>
      <c r="D268" s="319" t="s">
        <v>1210</v>
      </c>
      <c r="E268" s="16"/>
      <c r="F268" s="309" t="s">
        <v>755</v>
      </c>
      <c r="G268" s="16"/>
      <c r="H268" s="145" t="s">
        <v>1103</v>
      </c>
      <c r="I268" s="170" t="s">
        <v>1164</v>
      </c>
      <c r="J268" s="16" t="s">
        <v>1105</v>
      </c>
    </row>
    <row r="269" spans="1:10" ht="16">
      <c r="A269" s="297" t="s">
        <v>190</v>
      </c>
      <c r="B269" s="26" t="s">
        <v>1211</v>
      </c>
      <c r="C269" s="143" t="s">
        <v>1212</v>
      </c>
      <c r="D269" s="125" t="s">
        <v>1213</v>
      </c>
      <c r="E269" s="16"/>
      <c r="F269" s="131" t="s">
        <v>755</v>
      </c>
      <c r="G269" s="16"/>
      <c r="H269" s="145" t="s">
        <v>1103</v>
      </c>
      <c r="I269" s="170" t="s">
        <v>1164</v>
      </c>
      <c r="J269" s="16" t="s">
        <v>1105</v>
      </c>
    </row>
    <row r="270" spans="1:10" ht="16">
      <c r="A270" s="297" t="s">
        <v>195</v>
      </c>
      <c r="B270" s="26" t="s">
        <v>1214</v>
      </c>
      <c r="C270" s="143" t="s">
        <v>1215</v>
      </c>
      <c r="D270" s="125" t="s">
        <v>1216</v>
      </c>
      <c r="E270" s="16"/>
      <c r="F270" s="131" t="s">
        <v>755</v>
      </c>
      <c r="G270" s="16"/>
      <c r="H270" s="145" t="s">
        <v>1103</v>
      </c>
      <c r="I270" s="170" t="s">
        <v>1164</v>
      </c>
      <c r="J270" s="16" t="s">
        <v>1157</v>
      </c>
    </row>
    <row r="271" spans="1:10" ht="16">
      <c r="A271" s="297" t="s">
        <v>200</v>
      </c>
      <c r="B271" s="26" t="s">
        <v>1217</v>
      </c>
      <c r="C271" s="164" t="s">
        <v>1218</v>
      </c>
      <c r="D271" s="165" t="s">
        <v>1219</v>
      </c>
      <c r="E271" s="16"/>
      <c r="F271" s="131" t="s">
        <v>755</v>
      </c>
      <c r="G271" s="16"/>
      <c r="H271" s="145" t="s">
        <v>1103</v>
      </c>
      <c r="I271" s="170" t="s">
        <v>1164</v>
      </c>
      <c r="J271" s="16" t="s">
        <v>1157</v>
      </c>
    </row>
    <row r="272" spans="1:10" ht="16">
      <c r="A272" s="297" t="s">
        <v>205</v>
      </c>
      <c r="B272" s="26" t="s">
        <v>1220</v>
      </c>
      <c r="C272" s="301" t="s">
        <v>1221</v>
      </c>
      <c r="D272" s="166" t="s">
        <v>1222</v>
      </c>
      <c r="E272" s="16"/>
      <c r="F272" s="119" t="s">
        <v>755</v>
      </c>
      <c r="G272" s="16"/>
      <c r="H272" s="145" t="s">
        <v>1103</v>
      </c>
      <c r="I272" s="170" t="s">
        <v>1164</v>
      </c>
      <c r="J272" s="16" t="s">
        <v>1105</v>
      </c>
    </row>
    <row r="273" spans="1:10">
      <c r="A273" s="297" t="s">
        <v>210</v>
      </c>
      <c r="B273" s="26" t="s">
        <v>1223</v>
      </c>
      <c r="C273" s="26" t="s">
        <v>1224</v>
      </c>
      <c r="D273" s="163" t="s">
        <v>1225</v>
      </c>
      <c r="E273" s="16"/>
      <c r="F273" s="28" t="s">
        <v>867</v>
      </c>
      <c r="G273" s="16"/>
      <c r="H273" s="108" t="s">
        <v>1226</v>
      </c>
      <c r="I273" s="170" t="s">
        <v>1227</v>
      </c>
      <c r="J273" s="16" t="s">
        <v>1157</v>
      </c>
    </row>
    <row r="274" spans="1:10">
      <c r="A274" s="297" t="s">
        <v>215</v>
      </c>
      <c r="B274" s="26" t="s">
        <v>994</v>
      </c>
      <c r="C274" s="26" t="s">
        <v>1228</v>
      </c>
      <c r="D274" s="163" t="s">
        <v>1229</v>
      </c>
      <c r="E274" s="16"/>
      <c r="F274" s="28" t="s">
        <v>997</v>
      </c>
      <c r="G274" s="16"/>
      <c r="H274" s="108" t="s">
        <v>1226</v>
      </c>
      <c r="I274" s="170" t="s">
        <v>1227</v>
      </c>
      <c r="J274" s="16" t="s">
        <v>1157</v>
      </c>
    </row>
    <row r="275" spans="1:10">
      <c r="A275" s="297" t="s">
        <v>220</v>
      </c>
      <c r="B275" s="26" t="s">
        <v>1230</v>
      </c>
      <c r="C275" s="26" t="s">
        <v>1231</v>
      </c>
      <c r="D275" s="163" t="s">
        <v>1232</v>
      </c>
      <c r="E275" s="16"/>
      <c r="F275" s="28" t="s">
        <v>997</v>
      </c>
      <c r="G275" s="16"/>
      <c r="H275" s="108" t="s">
        <v>1226</v>
      </c>
      <c r="I275" s="170" t="s">
        <v>1227</v>
      </c>
      <c r="J275" s="16" t="s">
        <v>1105</v>
      </c>
    </row>
    <row r="276" spans="1:10">
      <c r="A276" s="297" t="s">
        <v>225</v>
      </c>
      <c r="B276" s="26" t="s">
        <v>1233</v>
      </c>
      <c r="C276" s="26" t="s">
        <v>1234</v>
      </c>
      <c r="D276" s="163" t="s">
        <v>1235</v>
      </c>
      <c r="E276" s="16"/>
      <c r="F276" s="28" t="s">
        <v>997</v>
      </c>
      <c r="G276" s="16"/>
      <c r="H276" s="108" t="s">
        <v>1226</v>
      </c>
      <c r="I276" s="170" t="s">
        <v>1227</v>
      </c>
      <c r="J276" s="16" t="s">
        <v>1157</v>
      </c>
    </row>
    <row r="277" spans="1:10">
      <c r="A277" s="297" t="s">
        <v>230</v>
      </c>
      <c r="B277" s="26" t="s">
        <v>1236</v>
      </c>
      <c r="C277" s="315" t="s">
        <v>1237</v>
      </c>
      <c r="D277" s="316" t="s">
        <v>1238</v>
      </c>
      <c r="E277" s="16"/>
      <c r="F277" s="167" t="s">
        <v>917</v>
      </c>
      <c r="G277" s="16"/>
      <c r="H277" s="108" t="s">
        <v>1226</v>
      </c>
      <c r="I277" s="170" t="s">
        <v>1227</v>
      </c>
      <c r="J277" s="16" t="s">
        <v>1105</v>
      </c>
    </row>
    <row r="278" spans="1:10">
      <c r="A278" s="297" t="s">
        <v>235</v>
      </c>
      <c r="B278" s="26" t="s">
        <v>1239</v>
      </c>
      <c r="C278" s="315" t="s">
        <v>1240</v>
      </c>
      <c r="D278" s="316" t="s">
        <v>1241</v>
      </c>
      <c r="E278" s="16"/>
      <c r="F278" s="167" t="s">
        <v>917</v>
      </c>
      <c r="G278" s="16"/>
      <c r="H278" s="108" t="s">
        <v>1226</v>
      </c>
      <c r="I278" s="170" t="s">
        <v>1227</v>
      </c>
      <c r="J278" s="16" t="s">
        <v>1105</v>
      </c>
    </row>
    <row r="279" spans="1:10">
      <c r="A279" s="297" t="s">
        <v>240</v>
      </c>
      <c r="B279" s="26" t="s">
        <v>920</v>
      </c>
      <c r="C279" s="315" t="s">
        <v>1242</v>
      </c>
      <c r="D279" s="316" t="s">
        <v>922</v>
      </c>
      <c r="E279" s="16"/>
      <c r="F279" s="167" t="s">
        <v>917</v>
      </c>
      <c r="G279" s="16"/>
      <c r="H279" s="108" t="s">
        <v>1226</v>
      </c>
      <c r="I279" s="170" t="s">
        <v>1227</v>
      </c>
      <c r="J279" s="16" t="s">
        <v>1105</v>
      </c>
    </row>
    <row r="280" spans="1:10">
      <c r="A280" s="297" t="s">
        <v>247</v>
      </c>
      <c r="B280" s="26" t="s">
        <v>932</v>
      </c>
      <c r="C280" s="315" t="s">
        <v>1243</v>
      </c>
      <c r="D280" s="316" t="s">
        <v>934</v>
      </c>
      <c r="E280" s="16"/>
      <c r="F280" s="167" t="s">
        <v>917</v>
      </c>
      <c r="G280" s="16"/>
      <c r="H280" s="108" t="s">
        <v>1226</v>
      </c>
      <c r="I280" s="170" t="s">
        <v>1227</v>
      </c>
      <c r="J280" s="16" t="s">
        <v>1157</v>
      </c>
    </row>
    <row r="281" spans="1:10">
      <c r="A281" s="297" t="s">
        <v>252</v>
      </c>
      <c r="B281" s="26" t="s">
        <v>924</v>
      </c>
      <c r="C281" s="315" t="s">
        <v>1244</v>
      </c>
      <c r="D281" s="316" t="s">
        <v>926</v>
      </c>
      <c r="E281" s="16"/>
      <c r="F281" s="167" t="s">
        <v>917</v>
      </c>
      <c r="G281" s="16"/>
      <c r="H281" s="108" t="s">
        <v>1226</v>
      </c>
      <c r="I281" s="170" t="s">
        <v>1227</v>
      </c>
      <c r="J281" s="16" t="s">
        <v>1105</v>
      </c>
    </row>
    <row r="282" spans="1:10">
      <c r="A282" s="297" t="s">
        <v>257</v>
      </c>
      <c r="B282" s="26" t="s">
        <v>1245</v>
      </c>
      <c r="C282" s="315" t="s">
        <v>1246</v>
      </c>
      <c r="D282" s="316" t="s">
        <v>1247</v>
      </c>
      <c r="E282" s="16"/>
      <c r="F282" s="167" t="s">
        <v>917</v>
      </c>
      <c r="G282" s="16"/>
      <c r="H282" s="108" t="s">
        <v>1226</v>
      </c>
      <c r="I282" s="170" t="s">
        <v>1227</v>
      </c>
      <c r="J282" s="16" t="s">
        <v>1105</v>
      </c>
    </row>
    <row r="283" spans="1:10">
      <c r="A283" s="297" t="s">
        <v>264</v>
      </c>
      <c r="B283" s="26" t="s">
        <v>1248</v>
      </c>
      <c r="C283" s="315" t="s">
        <v>1249</v>
      </c>
      <c r="D283" s="316" t="s">
        <v>1250</v>
      </c>
      <c r="E283" s="16"/>
      <c r="F283" s="167" t="s">
        <v>917</v>
      </c>
      <c r="G283" s="16"/>
      <c r="H283" s="108" t="s">
        <v>1226</v>
      </c>
      <c r="I283" s="170" t="s">
        <v>1227</v>
      </c>
      <c r="J283" s="16" t="s">
        <v>1157</v>
      </c>
    </row>
    <row r="284" spans="1:10">
      <c r="A284" s="297" t="s">
        <v>269</v>
      </c>
      <c r="B284" s="26" t="s">
        <v>910</v>
      </c>
      <c r="C284" s="315" t="s">
        <v>1251</v>
      </c>
      <c r="D284" s="316" t="s">
        <v>912</v>
      </c>
      <c r="E284" s="16"/>
      <c r="F284" s="167" t="s">
        <v>899</v>
      </c>
      <c r="G284" s="16"/>
      <c r="H284" s="108" t="s">
        <v>1226</v>
      </c>
      <c r="I284" s="170" t="s">
        <v>1227</v>
      </c>
      <c r="J284" s="16" t="s">
        <v>1157</v>
      </c>
    </row>
    <row r="285" spans="1:10">
      <c r="A285" s="297" t="s">
        <v>274</v>
      </c>
      <c r="B285" s="26" t="s">
        <v>1252</v>
      </c>
      <c r="C285" s="315" t="s">
        <v>1253</v>
      </c>
      <c r="D285" s="316" t="s">
        <v>1254</v>
      </c>
      <c r="E285" s="16"/>
      <c r="F285" s="167" t="s">
        <v>899</v>
      </c>
      <c r="G285" s="16"/>
      <c r="H285" s="108" t="s">
        <v>1226</v>
      </c>
      <c r="I285" s="170" t="s">
        <v>1227</v>
      </c>
      <c r="J285" s="16" t="s">
        <v>1157</v>
      </c>
    </row>
    <row r="286" spans="1:10">
      <c r="A286" s="297" t="s">
        <v>279</v>
      </c>
      <c r="B286" s="26" t="s">
        <v>1255</v>
      </c>
      <c r="C286" s="315" t="s">
        <v>1256</v>
      </c>
      <c r="D286" s="316" t="s">
        <v>1257</v>
      </c>
      <c r="E286" s="16"/>
      <c r="F286" s="167" t="s">
        <v>805</v>
      </c>
      <c r="G286" s="16"/>
      <c r="H286" s="108" t="s">
        <v>1226</v>
      </c>
      <c r="I286" s="170" t="s">
        <v>1258</v>
      </c>
      <c r="J286" s="16" t="s">
        <v>1157</v>
      </c>
    </row>
    <row r="287" spans="1:10">
      <c r="A287" s="297" t="s">
        <v>284</v>
      </c>
      <c r="B287" s="26" t="s">
        <v>848</v>
      </c>
      <c r="C287" s="317" t="s">
        <v>1259</v>
      </c>
      <c r="D287" s="318" t="s">
        <v>850</v>
      </c>
      <c r="E287" s="16"/>
      <c r="F287" s="168" t="s">
        <v>851</v>
      </c>
      <c r="G287" s="16"/>
      <c r="H287" s="108" t="s">
        <v>1226</v>
      </c>
      <c r="I287" s="170" t="s">
        <v>1258</v>
      </c>
      <c r="J287" s="16" t="s">
        <v>1105</v>
      </c>
    </row>
    <row r="288" spans="1:10">
      <c r="A288" s="297" t="s">
        <v>290</v>
      </c>
      <c r="B288" s="26" t="s">
        <v>752</v>
      </c>
      <c r="C288" s="317" t="s">
        <v>1260</v>
      </c>
      <c r="D288" s="318" t="s">
        <v>754</v>
      </c>
      <c r="E288" s="16"/>
      <c r="F288" s="168" t="s">
        <v>755</v>
      </c>
      <c r="G288" s="16"/>
      <c r="H288" s="108" t="s">
        <v>1226</v>
      </c>
      <c r="I288" s="170" t="s">
        <v>1258</v>
      </c>
      <c r="J288" s="16" t="s">
        <v>1105</v>
      </c>
    </row>
    <row r="289" spans="1:10">
      <c r="A289" s="297" t="s">
        <v>294</v>
      </c>
      <c r="B289" s="26" t="s">
        <v>768</v>
      </c>
      <c r="C289" s="317" t="s">
        <v>1261</v>
      </c>
      <c r="D289" s="318" t="s">
        <v>770</v>
      </c>
      <c r="E289" s="16"/>
      <c r="F289" s="168" t="s">
        <v>755</v>
      </c>
      <c r="G289" s="16"/>
      <c r="H289" s="108" t="s">
        <v>1226</v>
      </c>
      <c r="I289" s="170" t="s">
        <v>1258</v>
      </c>
      <c r="J289" s="16" t="s">
        <v>1157</v>
      </c>
    </row>
    <row r="290" spans="1:10">
      <c r="A290" s="297" t="s">
        <v>298</v>
      </c>
      <c r="B290" s="26" t="s">
        <v>1262</v>
      </c>
      <c r="C290" s="317" t="s">
        <v>1263</v>
      </c>
      <c r="D290" s="318" t="s">
        <v>1264</v>
      </c>
      <c r="E290" s="16"/>
      <c r="F290" s="168" t="s">
        <v>755</v>
      </c>
      <c r="G290" s="16"/>
      <c r="H290" s="108" t="s">
        <v>1226</v>
      </c>
      <c r="I290" s="170" t="s">
        <v>1258</v>
      </c>
      <c r="J290" s="16" t="s">
        <v>1105</v>
      </c>
    </row>
    <row r="291" spans="1:10">
      <c r="A291" s="297" t="s">
        <v>302</v>
      </c>
      <c r="B291" s="26" t="s">
        <v>1265</v>
      </c>
      <c r="C291" s="317" t="s">
        <v>1266</v>
      </c>
      <c r="D291" s="318" t="s">
        <v>1267</v>
      </c>
      <c r="E291" s="16"/>
      <c r="F291" s="168" t="s">
        <v>755</v>
      </c>
      <c r="G291" s="16"/>
      <c r="H291" s="108" t="s">
        <v>1226</v>
      </c>
      <c r="I291" s="170" t="s">
        <v>1258</v>
      </c>
      <c r="J291" s="16" t="s">
        <v>1105</v>
      </c>
    </row>
    <row r="292" spans="1:10">
      <c r="A292" s="297" t="s">
        <v>308</v>
      </c>
      <c r="B292" s="26" t="s">
        <v>794</v>
      </c>
      <c r="C292" s="317" t="s">
        <v>1268</v>
      </c>
      <c r="D292" s="318" t="s">
        <v>796</v>
      </c>
      <c r="E292" s="16"/>
      <c r="F292" s="168" t="s">
        <v>775</v>
      </c>
      <c r="G292" s="16"/>
      <c r="H292" s="108" t="s">
        <v>1226</v>
      </c>
      <c r="I292" s="170" t="s">
        <v>1258</v>
      </c>
      <c r="J292" s="16" t="s">
        <v>1157</v>
      </c>
    </row>
    <row r="293" spans="1:10">
      <c r="A293" s="297" t="s">
        <v>312</v>
      </c>
      <c r="B293" s="26" t="s">
        <v>1269</v>
      </c>
      <c r="C293" s="317" t="s">
        <v>1270</v>
      </c>
      <c r="D293" s="318" t="s">
        <v>1271</v>
      </c>
      <c r="E293" s="16"/>
      <c r="F293" s="168" t="s">
        <v>775</v>
      </c>
      <c r="G293" s="16"/>
      <c r="H293" s="108" t="s">
        <v>1226</v>
      </c>
      <c r="I293" s="170" t="s">
        <v>1258</v>
      </c>
      <c r="J293" s="16" t="s">
        <v>1157</v>
      </c>
    </row>
    <row r="294" spans="1:10">
      <c r="A294" s="297" t="s">
        <v>316</v>
      </c>
      <c r="B294" s="26" t="s">
        <v>1272</v>
      </c>
      <c r="C294" s="317" t="s">
        <v>1273</v>
      </c>
      <c r="D294" s="318" t="s">
        <v>1274</v>
      </c>
      <c r="E294" s="16"/>
      <c r="F294" s="168" t="s">
        <v>755</v>
      </c>
      <c r="G294" s="16"/>
      <c r="H294" s="108" t="s">
        <v>1226</v>
      </c>
      <c r="I294" s="170" t="s">
        <v>1258</v>
      </c>
      <c r="J294" s="16" t="s">
        <v>1157</v>
      </c>
    </row>
    <row r="295" spans="1:10">
      <c r="A295" s="297" t="s">
        <v>320</v>
      </c>
      <c r="B295" s="26" t="s">
        <v>1275</v>
      </c>
      <c r="C295" s="317" t="s">
        <v>1276</v>
      </c>
      <c r="D295" s="318" t="s">
        <v>1277</v>
      </c>
      <c r="E295" s="16"/>
      <c r="F295" s="168" t="s">
        <v>1040</v>
      </c>
      <c r="G295" s="16"/>
      <c r="H295" s="108" t="s">
        <v>1226</v>
      </c>
      <c r="I295" s="170" t="s">
        <v>1258</v>
      </c>
      <c r="J295" s="16" t="s">
        <v>1105</v>
      </c>
    </row>
    <row r="296" spans="1:10">
      <c r="A296" s="297" t="s">
        <v>324</v>
      </c>
      <c r="B296" s="26" t="s">
        <v>1278</v>
      </c>
      <c r="C296" s="317" t="s">
        <v>1279</v>
      </c>
      <c r="D296" s="318" t="s">
        <v>1280</v>
      </c>
      <c r="E296" s="16"/>
      <c r="F296" s="168" t="s">
        <v>1040</v>
      </c>
      <c r="G296" s="16"/>
      <c r="H296" s="108" t="s">
        <v>1226</v>
      </c>
      <c r="I296" s="170" t="s">
        <v>1258</v>
      </c>
      <c r="J296" s="16" t="s">
        <v>1105</v>
      </c>
    </row>
    <row r="297" spans="1:10">
      <c r="A297" s="297" t="s">
        <v>328</v>
      </c>
      <c r="B297" s="26" t="s">
        <v>1281</v>
      </c>
      <c r="C297" s="317" t="s">
        <v>1282</v>
      </c>
      <c r="D297" s="318" t="s">
        <v>1283</v>
      </c>
      <c r="E297" s="16"/>
      <c r="F297" s="168" t="s">
        <v>387</v>
      </c>
      <c r="G297" s="16"/>
      <c r="H297" s="108" t="s">
        <v>1226</v>
      </c>
      <c r="I297" s="170" t="s">
        <v>1258</v>
      </c>
      <c r="J297" s="16" t="s">
        <v>1105</v>
      </c>
    </row>
    <row r="298" spans="1:10">
      <c r="A298" s="297" t="s">
        <v>334</v>
      </c>
      <c r="B298" s="26" t="s">
        <v>1284</v>
      </c>
      <c r="C298" s="143" t="s">
        <v>1285</v>
      </c>
      <c r="D298" s="125" t="s">
        <v>1286</v>
      </c>
      <c r="E298" s="16"/>
      <c r="F298" s="169" t="s">
        <v>387</v>
      </c>
      <c r="G298" s="16"/>
      <c r="H298" s="108" t="s">
        <v>1226</v>
      </c>
      <c r="I298" s="170" t="s">
        <v>1258</v>
      </c>
      <c r="J298" s="16" t="s">
        <v>1105</v>
      </c>
    </row>
    <row r="299" spans="1:10">
      <c r="A299" s="297" t="s">
        <v>338</v>
      </c>
      <c r="B299" s="26" t="s">
        <v>1287</v>
      </c>
      <c r="C299" s="143" t="s">
        <v>1288</v>
      </c>
      <c r="D299" s="125" t="s">
        <v>1289</v>
      </c>
      <c r="E299" s="16"/>
      <c r="F299" s="169" t="s">
        <v>641</v>
      </c>
      <c r="G299" s="16"/>
      <c r="H299" s="108" t="s">
        <v>1226</v>
      </c>
      <c r="I299" s="170" t="s">
        <v>1258</v>
      </c>
      <c r="J299" s="16" t="s">
        <v>1157</v>
      </c>
    </row>
    <row r="300" spans="1:10">
      <c r="A300" s="297" t="s">
        <v>342</v>
      </c>
      <c r="B300" s="26" t="s">
        <v>675</v>
      </c>
      <c r="C300" s="164" t="s">
        <v>1290</v>
      </c>
      <c r="D300" s="165" t="s">
        <v>677</v>
      </c>
      <c r="E300" s="16"/>
      <c r="F300" s="169" t="s">
        <v>648</v>
      </c>
      <c r="G300" s="16"/>
      <c r="H300" s="108" t="s">
        <v>1226</v>
      </c>
      <c r="I300" s="170" t="s">
        <v>1258</v>
      </c>
      <c r="J300" s="16" t="s">
        <v>1105</v>
      </c>
    </row>
    <row r="301" spans="1:10">
      <c r="A301" s="297" t="s">
        <v>346</v>
      </c>
      <c r="B301" s="26" t="s">
        <v>679</v>
      </c>
      <c r="C301" s="301" t="s">
        <v>1291</v>
      </c>
      <c r="D301" s="166" t="s">
        <v>681</v>
      </c>
      <c r="E301" s="16"/>
      <c r="F301" s="309" t="s">
        <v>648</v>
      </c>
      <c r="G301" s="16"/>
      <c r="H301" s="108" t="s">
        <v>1226</v>
      </c>
      <c r="I301" s="170" t="s">
        <v>1258</v>
      </c>
      <c r="J301" s="16" t="s">
        <v>1105</v>
      </c>
    </row>
    <row r="302" spans="1:10">
      <c r="A302" s="297" t="s">
        <v>350</v>
      </c>
      <c r="B302" s="26" t="s">
        <v>1292</v>
      </c>
      <c r="C302" s="301" t="s">
        <v>1293</v>
      </c>
      <c r="D302" s="319" t="s">
        <v>1294</v>
      </c>
      <c r="E302" s="16"/>
      <c r="F302" s="309" t="s">
        <v>648</v>
      </c>
      <c r="G302" s="16"/>
      <c r="H302" s="108" t="s">
        <v>1226</v>
      </c>
      <c r="I302" s="170" t="s">
        <v>1258</v>
      </c>
      <c r="J302" s="16" t="s">
        <v>1105</v>
      </c>
    </row>
    <row r="303" spans="1:10">
      <c r="A303" s="297" t="s">
        <v>355</v>
      </c>
      <c r="B303" s="26" t="s">
        <v>1295</v>
      </c>
      <c r="C303" s="301" t="s">
        <v>1296</v>
      </c>
      <c r="D303" s="319" t="s">
        <v>1297</v>
      </c>
      <c r="E303" s="16"/>
      <c r="F303" s="309" t="s">
        <v>648</v>
      </c>
      <c r="G303" s="16"/>
      <c r="H303" s="108" t="s">
        <v>1226</v>
      </c>
      <c r="I303" s="170" t="s">
        <v>1258</v>
      </c>
      <c r="J303" s="16" t="s">
        <v>1105</v>
      </c>
    </row>
    <row r="304" spans="1:10">
      <c r="A304" s="297" t="s">
        <v>357</v>
      </c>
      <c r="B304" s="26" t="s">
        <v>711</v>
      </c>
      <c r="C304" s="301" t="s">
        <v>1298</v>
      </c>
      <c r="D304" s="319" t="s">
        <v>713</v>
      </c>
      <c r="E304" s="16"/>
      <c r="F304" s="309" t="s">
        <v>696</v>
      </c>
      <c r="G304" s="16"/>
      <c r="H304" s="108" t="s">
        <v>1226</v>
      </c>
      <c r="I304" s="170" t="s">
        <v>1258</v>
      </c>
      <c r="J304" s="16" t="s">
        <v>1157</v>
      </c>
    </row>
    <row r="305" spans="1:10">
      <c r="A305" s="297" t="s">
        <v>361</v>
      </c>
      <c r="B305" s="26" t="s">
        <v>1299</v>
      </c>
      <c r="C305" s="301" t="s">
        <v>1300</v>
      </c>
      <c r="D305" s="319" t="s">
        <v>1301</v>
      </c>
      <c r="E305" s="16"/>
      <c r="F305" s="309" t="s">
        <v>696</v>
      </c>
      <c r="G305" s="16"/>
      <c r="H305" s="108" t="s">
        <v>1226</v>
      </c>
      <c r="I305" s="170" t="s">
        <v>1258</v>
      </c>
      <c r="J305" s="16" t="s">
        <v>1157</v>
      </c>
    </row>
    <row r="306" spans="1:10">
      <c r="A306" s="297" t="s">
        <v>365</v>
      </c>
      <c r="B306" s="26" t="s">
        <v>1302</v>
      </c>
      <c r="C306" s="301" t="s">
        <v>1303</v>
      </c>
      <c r="D306" s="319" t="s">
        <v>1304</v>
      </c>
      <c r="E306" s="16"/>
      <c r="F306" s="309" t="s">
        <v>1305</v>
      </c>
      <c r="G306" s="16"/>
      <c r="H306" s="108" t="s">
        <v>1226</v>
      </c>
      <c r="I306" s="170" t="s">
        <v>1258</v>
      </c>
      <c r="J306" s="16" t="s">
        <v>1157</v>
      </c>
    </row>
    <row r="307" spans="1:10">
      <c r="A307" s="320"/>
      <c r="B307" s="181"/>
      <c r="C307" s="181"/>
      <c r="D307" s="21"/>
      <c r="E307" s="181"/>
      <c r="F307" s="181"/>
      <c r="G307" s="181"/>
      <c r="I307" s="275"/>
      <c r="J307" s="181"/>
    </row>
    <row r="308" spans="1:10">
      <c r="A308" s="320"/>
      <c r="B308" s="181"/>
      <c r="C308" s="181"/>
      <c r="D308" s="21"/>
      <c r="E308" s="181"/>
      <c r="F308" s="181"/>
      <c r="G308" s="181"/>
      <c r="I308" s="275"/>
      <c r="J308" s="181"/>
    </row>
    <row r="309" spans="1:10">
      <c r="A309" s="320"/>
      <c r="B309" s="181"/>
      <c r="C309" s="181"/>
      <c r="D309" s="21"/>
      <c r="E309" s="181"/>
      <c r="F309" s="181"/>
      <c r="G309" s="181"/>
      <c r="I309" s="275"/>
      <c r="J309" s="181"/>
    </row>
    <row r="310" spans="1:10">
      <c r="A310" s="320"/>
      <c r="B310" s="181"/>
      <c r="C310" s="181"/>
      <c r="D310" s="21"/>
      <c r="E310" s="181"/>
      <c r="F310" s="181"/>
      <c r="G310" s="181"/>
      <c r="I310" s="275"/>
      <c r="J310" s="181"/>
    </row>
    <row r="311" spans="1:10">
      <c r="A311" s="320"/>
      <c r="B311" s="181"/>
      <c r="C311" s="181"/>
      <c r="D311" s="21"/>
      <c r="E311" s="181"/>
      <c r="F311" s="181"/>
      <c r="G311" s="181"/>
      <c r="I311" s="275"/>
      <c r="J311" s="181"/>
    </row>
    <row r="312" spans="1:10">
      <c r="A312" s="320"/>
      <c r="B312" s="181"/>
      <c r="C312" s="181"/>
      <c r="D312" s="21"/>
      <c r="E312" s="181"/>
      <c r="F312" s="181"/>
      <c r="G312" s="181"/>
      <c r="I312" s="275"/>
      <c r="J312" s="181"/>
    </row>
    <row r="313" spans="1:10">
      <c r="A313" s="321"/>
      <c r="B313" s="181"/>
      <c r="C313" s="181"/>
      <c r="D313" s="181"/>
      <c r="E313" s="181"/>
      <c r="F313" s="181"/>
      <c r="G313" s="181"/>
      <c r="I313" s="275"/>
      <c r="J313" s="181"/>
    </row>
    <row r="314" spans="1:10" ht="16">
      <c r="A314" s="322" t="s">
        <v>1306</v>
      </c>
      <c r="B314" s="145" t="s">
        <v>1307</v>
      </c>
      <c r="C314" s="146" t="s">
        <v>1308</v>
      </c>
      <c r="D314" s="146" t="s">
        <v>1309</v>
      </c>
      <c r="E314" s="153">
        <v>15637654130</v>
      </c>
      <c r="F314" s="146" t="s">
        <v>57</v>
      </c>
      <c r="G314" s="146" t="s">
        <v>485</v>
      </c>
      <c r="H314" s="145" t="s">
        <v>39</v>
      </c>
      <c r="I314" s="147" t="s">
        <v>1310</v>
      </c>
      <c r="J314" s="144" t="s">
        <v>19</v>
      </c>
    </row>
    <row r="315" spans="1:10" ht="16">
      <c r="A315" s="322" t="s">
        <v>1311</v>
      </c>
      <c r="B315" s="145" t="s">
        <v>1312</v>
      </c>
      <c r="C315" s="146" t="s">
        <v>1313</v>
      </c>
      <c r="D315" s="146" t="s">
        <v>1314</v>
      </c>
      <c r="E315" s="153">
        <v>17519499087</v>
      </c>
      <c r="F315" s="146" t="s">
        <v>57</v>
      </c>
      <c r="G315" s="146" t="s">
        <v>485</v>
      </c>
      <c r="H315" s="145" t="s">
        <v>39</v>
      </c>
      <c r="I315" s="147" t="s">
        <v>1310</v>
      </c>
      <c r="J315" s="144" t="s">
        <v>19</v>
      </c>
    </row>
    <row r="316" spans="1:10" ht="16">
      <c r="A316" s="322" t="s">
        <v>1315</v>
      </c>
      <c r="B316" s="145" t="s">
        <v>1316</v>
      </c>
      <c r="C316" s="146" t="s">
        <v>1317</v>
      </c>
      <c r="D316" s="146" t="s">
        <v>1318</v>
      </c>
      <c r="E316" s="153">
        <v>17678319452</v>
      </c>
      <c r="F316" s="146" t="s">
        <v>57</v>
      </c>
      <c r="G316" s="146" t="s">
        <v>485</v>
      </c>
      <c r="H316" s="145" t="s">
        <v>39</v>
      </c>
      <c r="I316" s="147" t="s">
        <v>1310</v>
      </c>
      <c r="J316" s="144"/>
    </row>
    <row r="317" spans="1:10" ht="16">
      <c r="A317" s="322" t="s">
        <v>1319</v>
      </c>
      <c r="B317" s="145" t="s">
        <v>1320</v>
      </c>
      <c r="C317" s="146" t="s">
        <v>1321</v>
      </c>
      <c r="D317" s="146" t="s">
        <v>1322</v>
      </c>
      <c r="E317" s="153">
        <v>15143046242</v>
      </c>
      <c r="F317" s="146" t="s">
        <v>57</v>
      </c>
      <c r="G317" s="146" t="s">
        <v>485</v>
      </c>
      <c r="H317" s="145" t="s">
        <v>39</v>
      </c>
      <c r="I317" s="147" t="s">
        <v>1310</v>
      </c>
      <c r="J317" s="144" t="s">
        <v>19</v>
      </c>
    </row>
    <row r="318" spans="1:10" ht="16">
      <c r="A318" s="322" t="s">
        <v>1323</v>
      </c>
      <c r="B318" s="145" t="s">
        <v>1324</v>
      </c>
      <c r="C318" s="146" t="s">
        <v>1325</v>
      </c>
      <c r="D318" s="146" t="s">
        <v>1326</v>
      </c>
      <c r="E318" s="153">
        <v>13604421719</v>
      </c>
      <c r="F318" s="146" t="s">
        <v>57</v>
      </c>
      <c r="G318" s="146" t="s">
        <v>485</v>
      </c>
      <c r="H318" s="145" t="s">
        <v>39</v>
      </c>
      <c r="I318" s="147" t="s">
        <v>1310</v>
      </c>
      <c r="J318" s="144" t="s">
        <v>19</v>
      </c>
    </row>
    <row r="319" spans="1:10" ht="16">
      <c r="A319" s="322" t="s">
        <v>1327</v>
      </c>
      <c r="B319" s="145" t="s">
        <v>1328</v>
      </c>
      <c r="C319" s="146" t="s">
        <v>1329</v>
      </c>
      <c r="D319" s="152" t="s">
        <v>1330</v>
      </c>
      <c r="E319" s="153">
        <v>18686571282</v>
      </c>
      <c r="F319" s="146" t="s">
        <v>57</v>
      </c>
      <c r="G319" s="146" t="s">
        <v>485</v>
      </c>
      <c r="H319" s="145" t="s">
        <v>39</v>
      </c>
      <c r="I319" s="147" t="s">
        <v>1310</v>
      </c>
      <c r="J319" s="144"/>
    </row>
    <row r="320" spans="1:10" ht="16">
      <c r="A320" s="322" t="s">
        <v>1331</v>
      </c>
      <c r="B320" s="145" t="s">
        <v>1332</v>
      </c>
      <c r="C320" s="146" t="s">
        <v>1333</v>
      </c>
      <c r="D320" s="152" t="s">
        <v>1334</v>
      </c>
      <c r="E320" s="153">
        <v>15190124909</v>
      </c>
      <c r="F320" s="146" t="s">
        <v>57</v>
      </c>
      <c r="G320" s="146" t="s">
        <v>485</v>
      </c>
      <c r="H320" s="145" t="s">
        <v>39</v>
      </c>
      <c r="I320" s="147" t="s">
        <v>1310</v>
      </c>
      <c r="J320" s="144"/>
    </row>
    <row r="321" spans="1:10" ht="16">
      <c r="A321" s="322" t="s">
        <v>1335</v>
      </c>
      <c r="B321" s="145" t="s">
        <v>1336</v>
      </c>
      <c r="C321" s="146" t="s">
        <v>1337</v>
      </c>
      <c r="D321" s="146" t="s">
        <v>1338</v>
      </c>
      <c r="E321" s="153">
        <v>15044040921</v>
      </c>
      <c r="F321" s="146" t="s">
        <v>57</v>
      </c>
      <c r="G321" s="146" t="s">
        <v>485</v>
      </c>
      <c r="H321" s="145" t="s">
        <v>39</v>
      </c>
      <c r="I321" s="147" t="s">
        <v>1310</v>
      </c>
      <c r="J321" s="144"/>
    </row>
    <row r="322" spans="1:10" ht="16">
      <c r="A322" s="322" t="s">
        <v>1339</v>
      </c>
      <c r="B322" s="145" t="s">
        <v>1340</v>
      </c>
      <c r="C322" s="146" t="s">
        <v>1341</v>
      </c>
      <c r="D322" s="152" t="s">
        <v>1342</v>
      </c>
      <c r="E322" s="153">
        <v>18639919960</v>
      </c>
      <c r="F322" s="146" t="s">
        <v>57</v>
      </c>
      <c r="G322" s="146" t="s">
        <v>485</v>
      </c>
      <c r="H322" s="145" t="s">
        <v>96</v>
      </c>
      <c r="I322" s="147" t="s">
        <v>1310</v>
      </c>
      <c r="J322" s="144" t="s">
        <v>59</v>
      </c>
    </row>
    <row r="323" spans="1:10" ht="16">
      <c r="A323" s="322" t="s">
        <v>1343</v>
      </c>
      <c r="B323" s="145" t="s">
        <v>1344</v>
      </c>
      <c r="C323" s="146" t="s">
        <v>1345</v>
      </c>
      <c r="D323" s="146" t="s">
        <v>1346</v>
      </c>
      <c r="E323" s="153" t="s">
        <v>1347</v>
      </c>
      <c r="F323" s="146" t="s">
        <v>57</v>
      </c>
      <c r="G323" s="146" t="s">
        <v>485</v>
      </c>
      <c r="H323" s="145" t="s">
        <v>96</v>
      </c>
      <c r="I323" s="147" t="s">
        <v>1310</v>
      </c>
      <c r="J323" s="144" t="s">
        <v>19</v>
      </c>
    </row>
    <row r="324" spans="1:10" ht="16">
      <c r="A324" s="322" t="s">
        <v>1348</v>
      </c>
      <c r="B324" s="145" t="s">
        <v>1349</v>
      </c>
      <c r="C324" s="146" t="s">
        <v>1350</v>
      </c>
      <c r="D324" s="152" t="s">
        <v>1351</v>
      </c>
      <c r="E324" s="153">
        <v>13726597881</v>
      </c>
      <c r="F324" s="146" t="s">
        <v>57</v>
      </c>
      <c r="G324" s="146" t="s">
        <v>485</v>
      </c>
      <c r="H324" s="145" t="s">
        <v>96</v>
      </c>
      <c r="I324" s="147" t="s">
        <v>1310</v>
      </c>
      <c r="J324" s="144" t="s">
        <v>59</v>
      </c>
    </row>
    <row r="325" spans="1:10" ht="16">
      <c r="A325" s="322" t="s">
        <v>1352</v>
      </c>
      <c r="B325" s="145" t="s">
        <v>1353</v>
      </c>
      <c r="C325" s="146" t="s">
        <v>1354</v>
      </c>
      <c r="D325" s="146" t="s">
        <v>1355</v>
      </c>
      <c r="E325" s="153">
        <v>17649982884</v>
      </c>
      <c r="F325" s="146" t="s">
        <v>57</v>
      </c>
      <c r="G325" s="146" t="s">
        <v>485</v>
      </c>
      <c r="H325" s="145" t="s">
        <v>1103</v>
      </c>
      <c r="I325" s="147" t="s">
        <v>1310</v>
      </c>
      <c r="J325" s="144"/>
    </row>
    <row r="326" spans="1:10" ht="16">
      <c r="A326" s="322" t="s">
        <v>1356</v>
      </c>
      <c r="B326" s="145" t="s">
        <v>1357</v>
      </c>
      <c r="C326" s="146" t="s">
        <v>1358</v>
      </c>
      <c r="D326" s="146" t="s">
        <v>1359</v>
      </c>
      <c r="E326" s="153">
        <v>17684312631</v>
      </c>
      <c r="F326" s="146" t="s">
        <v>57</v>
      </c>
      <c r="G326" s="146" t="s">
        <v>485</v>
      </c>
      <c r="H326" s="145" t="s">
        <v>1103</v>
      </c>
      <c r="I326" s="147" t="s">
        <v>1310</v>
      </c>
      <c r="J326" s="144" t="s">
        <v>19</v>
      </c>
    </row>
    <row r="327" spans="1:10" ht="16">
      <c r="A327" s="322" t="s">
        <v>1360</v>
      </c>
      <c r="B327" s="145" t="s">
        <v>1361</v>
      </c>
      <c r="C327" s="146" t="s">
        <v>1362</v>
      </c>
      <c r="D327" s="146" t="s">
        <v>1363</v>
      </c>
      <c r="E327" s="153">
        <v>17196999444</v>
      </c>
      <c r="F327" s="146" t="s">
        <v>57</v>
      </c>
      <c r="G327" s="146" t="s">
        <v>485</v>
      </c>
      <c r="H327" s="145" t="s">
        <v>1103</v>
      </c>
      <c r="I327" s="147" t="s">
        <v>1310</v>
      </c>
      <c r="J327" s="144"/>
    </row>
    <row r="328" spans="1:10" ht="16">
      <c r="A328" s="322" t="s">
        <v>1364</v>
      </c>
      <c r="B328" s="145" t="s">
        <v>1365</v>
      </c>
      <c r="C328" s="146" t="s">
        <v>1366</v>
      </c>
      <c r="D328" s="146" t="s">
        <v>1367</v>
      </c>
      <c r="E328" s="153">
        <v>18686548628</v>
      </c>
      <c r="F328" s="146" t="s">
        <v>57</v>
      </c>
      <c r="G328" s="146" t="s">
        <v>485</v>
      </c>
      <c r="H328" s="145" t="s">
        <v>1368</v>
      </c>
      <c r="I328" s="147" t="s">
        <v>1310</v>
      </c>
      <c r="J328" s="144" t="s">
        <v>59</v>
      </c>
    </row>
    <row r="329" spans="1:10" ht="16">
      <c r="A329" s="322" t="s">
        <v>1369</v>
      </c>
      <c r="B329" s="145" t="s">
        <v>1370</v>
      </c>
      <c r="C329" s="146" t="s">
        <v>1371</v>
      </c>
      <c r="D329" s="146" t="s">
        <v>1372</v>
      </c>
      <c r="E329" s="153">
        <v>13624462680</v>
      </c>
      <c r="F329" s="146" t="s">
        <v>57</v>
      </c>
      <c r="G329" s="146" t="s">
        <v>485</v>
      </c>
      <c r="H329" s="145" t="s">
        <v>1103</v>
      </c>
      <c r="I329" s="147" t="s">
        <v>1310</v>
      </c>
      <c r="J329" s="144"/>
    </row>
    <row r="330" spans="1:10" ht="16">
      <c r="A330" s="322" t="s">
        <v>1373</v>
      </c>
      <c r="B330" s="145" t="s">
        <v>1374</v>
      </c>
      <c r="C330" s="146" t="s">
        <v>1375</v>
      </c>
      <c r="D330" s="146" t="s">
        <v>1376</v>
      </c>
      <c r="E330" s="153">
        <v>17516128063</v>
      </c>
      <c r="F330" s="146" t="s">
        <v>57</v>
      </c>
      <c r="G330" s="146" t="s">
        <v>485</v>
      </c>
      <c r="H330" s="145" t="s">
        <v>1103</v>
      </c>
      <c r="I330" s="147" t="s">
        <v>1310</v>
      </c>
      <c r="J330" s="144" t="s">
        <v>19</v>
      </c>
    </row>
    <row r="331" spans="1:10" ht="16">
      <c r="A331" s="322" t="s">
        <v>1377</v>
      </c>
      <c r="B331" s="145" t="s">
        <v>1378</v>
      </c>
      <c r="C331" s="146" t="s">
        <v>1379</v>
      </c>
      <c r="D331" s="146" t="s">
        <v>1380</v>
      </c>
      <c r="E331" s="153">
        <v>15764324612</v>
      </c>
      <c r="F331" s="146" t="s">
        <v>57</v>
      </c>
      <c r="G331" s="146" t="s">
        <v>485</v>
      </c>
      <c r="H331" s="145" t="s">
        <v>1103</v>
      </c>
      <c r="I331" s="147" t="s">
        <v>1310</v>
      </c>
      <c r="J331" s="144" t="s">
        <v>19</v>
      </c>
    </row>
    <row r="332" spans="1:10" ht="16">
      <c r="A332" s="322" t="s">
        <v>1381</v>
      </c>
      <c r="B332" s="145" t="s">
        <v>1382</v>
      </c>
      <c r="C332" s="146" t="s">
        <v>1383</v>
      </c>
      <c r="D332" s="146" t="s">
        <v>1384</v>
      </c>
      <c r="E332" s="153">
        <v>18731955227</v>
      </c>
      <c r="F332" s="146" t="s">
        <v>57</v>
      </c>
      <c r="G332" s="146" t="s">
        <v>485</v>
      </c>
      <c r="H332" s="145" t="s">
        <v>1103</v>
      </c>
      <c r="I332" s="147" t="s">
        <v>1310</v>
      </c>
      <c r="J332" s="144" t="s">
        <v>59</v>
      </c>
    </row>
    <row r="333" spans="1:10" ht="16">
      <c r="A333" s="322" t="s">
        <v>1385</v>
      </c>
      <c r="B333" s="145" t="s">
        <v>12</v>
      </c>
      <c r="C333" s="146" t="s">
        <v>1386</v>
      </c>
      <c r="D333" s="146" t="s">
        <v>14</v>
      </c>
      <c r="E333" s="153">
        <v>17649818786</v>
      </c>
      <c r="F333" s="146" t="s">
        <v>57</v>
      </c>
      <c r="G333" s="146" t="s">
        <v>485</v>
      </c>
      <c r="H333" s="145" t="s">
        <v>1103</v>
      </c>
      <c r="I333" s="147" t="s">
        <v>1310</v>
      </c>
      <c r="J333" s="144"/>
    </row>
    <row r="334" spans="1:10" ht="16">
      <c r="A334" s="322" t="s">
        <v>1387</v>
      </c>
      <c r="B334" s="145" t="s">
        <v>1388</v>
      </c>
      <c r="C334" s="146" t="s">
        <v>1389</v>
      </c>
      <c r="D334" s="152" t="s">
        <v>1390</v>
      </c>
      <c r="E334" s="153">
        <v>13039319315</v>
      </c>
      <c r="F334" s="146" t="s">
        <v>57</v>
      </c>
      <c r="G334" s="146" t="s">
        <v>485</v>
      </c>
      <c r="H334" s="145" t="s">
        <v>1103</v>
      </c>
      <c r="I334" s="147" t="s">
        <v>1310</v>
      </c>
      <c r="J334" s="144" t="s">
        <v>19</v>
      </c>
    </row>
    <row r="335" spans="1:10" ht="16">
      <c r="A335" s="322" t="s">
        <v>1391</v>
      </c>
      <c r="B335" s="145" t="s">
        <v>1392</v>
      </c>
      <c r="C335" s="146" t="s">
        <v>1393</v>
      </c>
      <c r="D335" s="152" t="s">
        <v>1394</v>
      </c>
      <c r="E335" s="153">
        <v>13843932827</v>
      </c>
      <c r="F335" s="146" t="s">
        <v>57</v>
      </c>
      <c r="G335" s="146" t="s">
        <v>485</v>
      </c>
      <c r="H335" s="145" t="s">
        <v>1103</v>
      </c>
      <c r="I335" s="147" t="s">
        <v>1310</v>
      </c>
      <c r="J335" s="144" t="s">
        <v>19</v>
      </c>
    </row>
    <row r="336" spans="1:10" ht="16">
      <c r="A336" s="322" t="s">
        <v>1395</v>
      </c>
      <c r="B336" s="145" t="s">
        <v>1396</v>
      </c>
      <c r="C336" s="146" t="s">
        <v>1397</v>
      </c>
      <c r="D336" s="152" t="s">
        <v>1398</v>
      </c>
      <c r="E336" s="153">
        <v>15704447870</v>
      </c>
      <c r="F336" s="146" t="s">
        <v>57</v>
      </c>
      <c r="G336" s="146" t="s">
        <v>485</v>
      </c>
      <c r="H336" s="145" t="s">
        <v>1103</v>
      </c>
      <c r="I336" s="147" t="s">
        <v>1310</v>
      </c>
      <c r="J336" s="144"/>
    </row>
    <row r="337" spans="1:10" ht="16">
      <c r="A337" s="322" t="s">
        <v>1399</v>
      </c>
      <c r="B337" s="145" t="s">
        <v>1400</v>
      </c>
      <c r="C337" s="146" t="s">
        <v>1401</v>
      </c>
      <c r="D337" s="152" t="s">
        <v>1402</v>
      </c>
      <c r="E337" s="153">
        <v>15943004021</v>
      </c>
      <c r="F337" s="146" t="s">
        <v>57</v>
      </c>
      <c r="G337" s="146" t="s">
        <v>485</v>
      </c>
      <c r="H337" s="145" t="s">
        <v>1103</v>
      </c>
      <c r="I337" s="147" t="s">
        <v>1310</v>
      </c>
      <c r="J337" s="144" t="s">
        <v>19</v>
      </c>
    </row>
    <row r="338" spans="1:10" ht="16">
      <c r="A338" s="322" t="s">
        <v>1403</v>
      </c>
      <c r="B338" s="145" t="s">
        <v>1404</v>
      </c>
      <c r="C338" s="146" t="s">
        <v>1405</v>
      </c>
      <c r="D338" s="146" t="s">
        <v>1406</v>
      </c>
      <c r="E338" s="153">
        <v>17084312666</v>
      </c>
      <c r="F338" s="146" t="s">
        <v>373</v>
      </c>
      <c r="G338" s="146" t="s">
        <v>1407</v>
      </c>
      <c r="H338" s="145" t="s">
        <v>39</v>
      </c>
      <c r="I338" s="147" t="s">
        <v>1310</v>
      </c>
      <c r="J338" s="144" t="s">
        <v>19</v>
      </c>
    </row>
    <row r="339" spans="1:10" ht="16">
      <c r="A339" s="322" t="s">
        <v>1408</v>
      </c>
      <c r="B339" s="145" t="s">
        <v>1409</v>
      </c>
      <c r="C339" s="146" t="s">
        <v>1410</v>
      </c>
      <c r="D339" s="146" t="s">
        <v>1411</v>
      </c>
      <c r="E339" s="153">
        <v>15843009782</v>
      </c>
      <c r="F339" s="146" t="s">
        <v>373</v>
      </c>
      <c r="G339" s="146" t="s">
        <v>1407</v>
      </c>
      <c r="H339" s="145" t="s">
        <v>39</v>
      </c>
      <c r="I339" s="147" t="s">
        <v>1310</v>
      </c>
      <c r="J339" s="144" t="s">
        <v>19</v>
      </c>
    </row>
    <row r="340" spans="1:10" ht="16">
      <c r="A340" s="322" t="s">
        <v>1412</v>
      </c>
      <c r="B340" s="145" t="s">
        <v>1413</v>
      </c>
      <c r="C340" s="146" t="s">
        <v>1414</v>
      </c>
      <c r="D340" s="146" t="s">
        <v>1415</v>
      </c>
      <c r="E340" s="153">
        <v>17808053130</v>
      </c>
      <c r="F340" s="146" t="s">
        <v>373</v>
      </c>
      <c r="G340" s="146" t="s">
        <v>1407</v>
      </c>
      <c r="H340" s="145" t="s">
        <v>39</v>
      </c>
      <c r="I340" s="147" t="s">
        <v>1310</v>
      </c>
      <c r="J340" s="144" t="s">
        <v>19</v>
      </c>
    </row>
    <row r="341" spans="1:10" ht="16">
      <c r="A341" s="322" t="s">
        <v>1416</v>
      </c>
      <c r="B341" s="145" t="s">
        <v>1417</v>
      </c>
      <c r="C341" s="146" t="s">
        <v>1418</v>
      </c>
      <c r="D341" s="146" t="s">
        <v>1419</v>
      </c>
      <c r="E341" s="153">
        <v>15568483009</v>
      </c>
      <c r="F341" s="146" t="s">
        <v>373</v>
      </c>
      <c r="G341" s="146" t="s">
        <v>1407</v>
      </c>
      <c r="H341" s="145" t="s">
        <v>39</v>
      </c>
      <c r="I341" s="147" t="s">
        <v>1310</v>
      </c>
      <c r="J341" s="144" t="s">
        <v>19</v>
      </c>
    </row>
    <row r="342" spans="1:10" ht="16">
      <c r="A342" s="322" t="s">
        <v>1420</v>
      </c>
      <c r="B342" s="145" t="s">
        <v>1421</v>
      </c>
      <c r="C342" s="146" t="s">
        <v>1422</v>
      </c>
      <c r="D342" s="146" t="s">
        <v>1423</v>
      </c>
      <c r="E342" s="153">
        <v>13894843941</v>
      </c>
      <c r="F342" s="146" t="s">
        <v>373</v>
      </c>
      <c r="G342" s="146" t="s">
        <v>1407</v>
      </c>
      <c r="H342" s="145" t="s">
        <v>39</v>
      </c>
      <c r="I342" s="147" t="s">
        <v>1310</v>
      </c>
      <c r="J342" s="144" t="s">
        <v>19</v>
      </c>
    </row>
    <row r="343" spans="1:10" ht="16">
      <c r="A343" s="322" t="s">
        <v>1424</v>
      </c>
      <c r="B343" s="145" t="s">
        <v>1425</v>
      </c>
      <c r="C343" s="146" t="s">
        <v>1426</v>
      </c>
      <c r="D343" s="146" t="s">
        <v>1427</v>
      </c>
      <c r="E343" s="153">
        <v>17682373060</v>
      </c>
      <c r="F343" s="146" t="s">
        <v>1428</v>
      </c>
      <c r="G343" s="146" t="s">
        <v>1429</v>
      </c>
      <c r="H343" s="145" t="s">
        <v>39</v>
      </c>
      <c r="I343" s="147" t="s">
        <v>1310</v>
      </c>
      <c r="J343" s="144" t="s">
        <v>59</v>
      </c>
    </row>
    <row r="344" spans="1:10" ht="16">
      <c r="A344" s="322" t="s">
        <v>1430</v>
      </c>
      <c r="B344" s="145" t="s">
        <v>1431</v>
      </c>
      <c r="C344" s="146" t="s">
        <v>1432</v>
      </c>
      <c r="D344" s="146" t="s">
        <v>1433</v>
      </c>
      <c r="E344" s="153">
        <v>18043371130</v>
      </c>
      <c r="F344" s="146" t="s">
        <v>1428</v>
      </c>
      <c r="G344" s="146" t="s">
        <v>1429</v>
      </c>
      <c r="H344" s="145" t="s">
        <v>39</v>
      </c>
      <c r="I344" s="147" t="s">
        <v>1310</v>
      </c>
      <c r="J344" s="144" t="s">
        <v>19</v>
      </c>
    </row>
    <row r="345" spans="1:10" ht="16">
      <c r="A345" s="322" t="s">
        <v>1434</v>
      </c>
      <c r="B345" s="145" t="s">
        <v>1435</v>
      </c>
      <c r="C345" s="146" t="s">
        <v>1436</v>
      </c>
      <c r="D345" s="146" t="s">
        <v>1437</v>
      </c>
      <c r="E345" s="153">
        <v>17377643363</v>
      </c>
      <c r="F345" s="146" t="s">
        <v>1428</v>
      </c>
      <c r="G345" s="146" t="s">
        <v>1429</v>
      </c>
      <c r="H345" s="145" t="s">
        <v>39</v>
      </c>
      <c r="I345" s="147" t="s">
        <v>1310</v>
      </c>
      <c r="J345" s="144" t="s">
        <v>19</v>
      </c>
    </row>
    <row r="346" spans="1:10" ht="16">
      <c r="A346" s="322" t="s">
        <v>1438</v>
      </c>
      <c r="B346" s="145" t="s">
        <v>1439</v>
      </c>
      <c r="C346" s="146" t="s">
        <v>1440</v>
      </c>
      <c r="D346" s="146" t="s">
        <v>1441</v>
      </c>
      <c r="E346" s="153">
        <v>13943190895</v>
      </c>
      <c r="F346" s="146" t="s">
        <v>1428</v>
      </c>
      <c r="G346" s="146" t="s">
        <v>1429</v>
      </c>
      <c r="H346" s="145" t="s">
        <v>39</v>
      </c>
      <c r="I346" s="147" t="s">
        <v>1310</v>
      </c>
      <c r="J346" s="144" t="s">
        <v>19</v>
      </c>
    </row>
    <row r="347" spans="1:10" ht="16">
      <c r="A347" s="322" t="s">
        <v>1442</v>
      </c>
      <c r="B347" s="145" t="s">
        <v>1443</v>
      </c>
      <c r="C347" s="146" t="s">
        <v>1444</v>
      </c>
      <c r="D347" s="146" t="s">
        <v>1445</v>
      </c>
      <c r="E347" s="153">
        <v>15944389161</v>
      </c>
      <c r="F347" s="146" t="s">
        <v>1428</v>
      </c>
      <c r="G347" s="146" t="s">
        <v>1429</v>
      </c>
      <c r="H347" s="145" t="s">
        <v>39</v>
      </c>
      <c r="I347" s="147" t="s">
        <v>1310</v>
      </c>
      <c r="J347" s="144" t="s">
        <v>19</v>
      </c>
    </row>
    <row r="348" spans="1:10" ht="16">
      <c r="A348" s="322" t="s">
        <v>1446</v>
      </c>
      <c r="B348" s="145" t="s">
        <v>1447</v>
      </c>
      <c r="C348" s="146" t="s">
        <v>1448</v>
      </c>
      <c r="D348" s="146" t="s">
        <v>1449</v>
      </c>
      <c r="E348" s="153">
        <v>13756179214</v>
      </c>
      <c r="F348" s="146" t="s">
        <v>1428</v>
      </c>
      <c r="G348" s="146" t="s">
        <v>1429</v>
      </c>
      <c r="H348" s="145" t="s">
        <v>39</v>
      </c>
      <c r="I348" s="147" t="s">
        <v>1310</v>
      </c>
      <c r="J348" s="144" t="s">
        <v>59</v>
      </c>
    </row>
    <row r="349" spans="1:10" ht="16">
      <c r="A349" s="322" t="s">
        <v>1450</v>
      </c>
      <c r="B349" s="145" t="s">
        <v>1451</v>
      </c>
      <c r="C349" s="146" t="s">
        <v>1452</v>
      </c>
      <c r="D349" s="146" t="s">
        <v>1453</v>
      </c>
      <c r="E349" s="153">
        <v>13756251884</v>
      </c>
      <c r="F349" s="146" t="s">
        <v>373</v>
      </c>
      <c r="G349" s="146" t="s">
        <v>1407</v>
      </c>
      <c r="H349" s="145" t="s">
        <v>1454</v>
      </c>
      <c r="I349" s="147" t="s">
        <v>1310</v>
      </c>
      <c r="J349" s="144" t="s">
        <v>19</v>
      </c>
    </row>
    <row r="350" spans="1:10" ht="16">
      <c r="A350" s="322" t="s">
        <v>1455</v>
      </c>
      <c r="B350" s="145" t="s">
        <v>1456</v>
      </c>
      <c r="C350" s="146" t="s">
        <v>1457</v>
      </c>
      <c r="D350" s="146" t="s">
        <v>1458</v>
      </c>
      <c r="E350" s="153">
        <v>13364302823</v>
      </c>
      <c r="F350" s="146" t="s">
        <v>373</v>
      </c>
      <c r="G350" s="146" t="s">
        <v>1407</v>
      </c>
      <c r="H350" s="145" t="s">
        <v>1454</v>
      </c>
      <c r="I350" s="147" t="s">
        <v>1310</v>
      </c>
      <c r="J350" s="144" t="s">
        <v>19</v>
      </c>
    </row>
    <row r="351" spans="1:10" ht="16">
      <c r="A351" s="322" t="s">
        <v>1459</v>
      </c>
      <c r="B351" s="145" t="s">
        <v>1460</v>
      </c>
      <c r="C351" s="146" t="s">
        <v>1461</v>
      </c>
      <c r="D351" s="146" t="s">
        <v>1462</v>
      </c>
      <c r="E351" s="153">
        <v>13624405790</v>
      </c>
      <c r="F351" s="146" t="s">
        <v>373</v>
      </c>
      <c r="G351" s="146" t="s">
        <v>1407</v>
      </c>
      <c r="H351" s="145" t="s">
        <v>1454</v>
      </c>
      <c r="I351" s="147" t="s">
        <v>1310</v>
      </c>
      <c r="J351" s="144" t="s">
        <v>59</v>
      </c>
    </row>
    <row r="352" spans="1:10" ht="16">
      <c r="A352" s="322" t="s">
        <v>1463</v>
      </c>
      <c r="B352" s="145" t="s">
        <v>1464</v>
      </c>
      <c r="C352" s="146" t="s">
        <v>1465</v>
      </c>
      <c r="D352" s="146" t="s">
        <v>1466</v>
      </c>
      <c r="E352" s="153">
        <v>13404373945</v>
      </c>
      <c r="F352" s="146" t="s">
        <v>373</v>
      </c>
      <c r="G352" s="146" t="s">
        <v>1407</v>
      </c>
      <c r="H352" s="145" t="s">
        <v>1454</v>
      </c>
      <c r="I352" s="147" t="s">
        <v>1310</v>
      </c>
      <c r="J352" s="144" t="s">
        <v>19</v>
      </c>
    </row>
    <row r="353" spans="1:10" ht="16">
      <c r="A353" s="322" t="s">
        <v>1467</v>
      </c>
      <c r="B353" s="145" t="s">
        <v>1468</v>
      </c>
      <c r="C353" s="146" t="s">
        <v>1469</v>
      </c>
      <c r="D353" s="146" t="s">
        <v>1470</v>
      </c>
      <c r="E353" s="153">
        <v>13610701090</v>
      </c>
      <c r="F353" s="146" t="s">
        <v>373</v>
      </c>
      <c r="G353" s="146" t="s">
        <v>1407</v>
      </c>
      <c r="H353" s="145" t="s">
        <v>1454</v>
      </c>
      <c r="I353" s="147" t="s">
        <v>1310</v>
      </c>
      <c r="J353" s="144" t="s">
        <v>19</v>
      </c>
    </row>
    <row r="354" spans="1:10" ht="16">
      <c r="A354" s="322" t="s">
        <v>1471</v>
      </c>
      <c r="B354" s="145" t="s">
        <v>1472</v>
      </c>
      <c r="C354" s="146" t="s">
        <v>1473</v>
      </c>
      <c r="D354" s="146" t="s">
        <v>1474</v>
      </c>
      <c r="E354" s="153">
        <v>18243184041</v>
      </c>
      <c r="F354" s="146" t="s">
        <v>373</v>
      </c>
      <c r="G354" s="146" t="s">
        <v>1407</v>
      </c>
      <c r="H354" s="145" t="s">
        <v>1454</v>
      </c>
      <c r="I354" s="147" t="s">
        <v>1310</v>
      </c>
      <c r="J354" s="144" t="s">
        <v>19</v>
      </c>
    </row>
    <row r="355" spans="1:10" ht="16">
      <c r="A355" s="322" t="s">
        <v>1475</v>
      </c>
      <c r="B355" s="145" t="s">
        <v>1476</v>
      </c>
      <c r="C355" s="146" t="s">
        <v>1477</v>
      </c>
      <c r="D355" s="146" t="s">
        <v>1478</v>
      </c>
      <c r="E355" s="153">
        <v>13252606027</v>
      </c>
      <c r="F355" s="146" t="s">
        <v>373</v>
      </c>
      <c r="G355" s="146" t="s">
        <v>1407</v>
      </c>
      <c r="H355" s="145" t="s">
        <v>1454</v>
      </c>
      <c r="I355" s="147" t="s">
        <v>1310</v>
      </c>
      <c r="J355" s="144" t="s">
        <v>19</v>
      </c>
    </row>
    <row r="356" spans="1:10" ht="16">
      <c r="A356" s="322" t="s">
        <v>1479</v>
      </c>
      <c r="B356" s="145" t="s">
        <v>1480</v>
      </c>
      <c r="C356" s="146" t="s">
        <v>1481</v>
      </c>
      <c r="D356" s="146" t="s">
        <v>1482</v>
      </c>
      <c r="E356" s="153">
        <v>13756102357</v>
      </c>
      <c r="F356" s="146" t="s">
        <v>373</v>
      </c>
      <c r="G356" s="146" t="s">
        <v>1407</v>
      </c>
      <c r="H356" s="145" t="s">
        <v>1454</v>
      </c>
      <c r="I356" s="147" t="s">
        <v>1310</v>
      </c>
      <c r="J356" s="144" t="s">
        <v>19</v>
      </c>
    </row>
    <row r="357" spans="1:10" ht="16">
      <c r="A357" s="322" t="s">
        <v>1483</v>
      </c>
      <c r="B357" s="145" t="s">
        <v>464</v>
      </c>
      <c r="C357" s="146" t="s">
        <v>1484</v>
      </c>
      <c r="D357" s="146" t="s">
        <v>466</v>
      </c>
      <c r="E357" s="153">
        <v>15143014779</v>
      </c>
      <c r="F357" s="146" t="s">
        <v>373</v>
      </c>
      <c r="G357" s="146" t="s">
        <v>1407</v>
      </c>
      <c r="H357" s="145" t="s">
        <v>1454</v>
      </c>
      <c r="I357" s="147" t="s">
        <v>1310</v>
      </c>
      <c r="J357" s="144" t="s">
        <v>19</v>
      </c>
    </row>
    <row r="358" spans="1:10" ht="16">
      <c r="A358" s="322" t="s">
        <v>1485</v>
      </c>
      <c r="B358" s="145" t="s">
        <v>1486</v>
      </c>
      <c r="C358" s="146" t="s">
        <v>1487</v>
      </c>
      <c r="D358" s="146" t="s">
        <v>1488</v>
      </c>
      <c r="E358" s="153">
        <v>13944883531</v>
      </c>
      <c r="F358" s="146" t="s">
        <v>373</v>
      </c>
      <c r="G358" s="146" t="s">
        <v>1407</v>
      </c>
      <c r="H358" s="145" t="s">
        <v>1454</v>
      </c>
      <c r="I358" s="147" t="s">
        <v>1310</v>
      </c>
      <c r="J358" s="144" t="s">
        <v>19</v>
      </c>
    </row>
    <row r="359" spans="1:10" ht="16">
      <c r="A359" s="322" t="s">
        <v>1489</v>
      </c>
      <c r="B359" s="145" t="s">
        <v>1490</v>
      </c>
      <c r="C359" s="146" t="s">
        <v>1491</v>
      </c>
      <c r="D359" s="146" t="s">
        <v>1492</v>
      </c>
      <c r="E359" s="153">
        <v>17678313959</v>
      </c>
      <c r="F359" s="146" t="s">
        <v>373</v>
      </c>
      <c r="G359" s="146" t="s">
        <v>1407</v>
      </c>
      <c r="H359" s="145" t="s">
        <v>1454</v>
      </c>
      <c r="I359" s="147" t="s">
        <v>1310</v>
      </c>
      <c r="J359" s="144" t="s">
        <v>19</v>
      </c>
    </row>
    <row r="360" spans="1:10" ht="16">
      <c r="A360" s="322" t="s">
        <v>1493</v>
      </c>
      <c r="B360" s="145" t="s">
        <v>1494</v>
      </c>
      <c r="C360" s="146" t="s">
        <v>1495</v>
      </c>
      <c r="D360" s="146" t="s">
        <v>1496</v>
      </c>
      <c r="E360" s="153" t="s">
        <v>1497</v>
      </c>
      <c r="F360" s="146" t="s">
        <v>1428</v>
      </c>
      <c r="G360" s="146" t="s">
        <v>1429</v>
      </c>
      <c r="H360" s="145" t="s">
        <v>1454</v>
      </c>
      <c r="I360" s="147" t="s">
        <v>1310</v>
      </c>
      <c r="J360" s="144" t="s">
        <v>19</v>
      </c>
    </row>
    <row r="361" spans="1:10" ht="16">
      <c r="A361" s="322" t="s">
        <v>1498</v>
      </c>
      <c r="B361" s="145" t="s">
        <v>1499</v>
      </c>
      <c r="C361" s="146" t="s">
        <v>1500</v>
      </c>
      <c r="D361" s="146" t="s">
        <v>1501</v>
      </c>
      <c r="E361" s="153">
        <v>13244317614</v>
      </c>
      <c r="F361" s="146" t="s">
        <v>1428</v>
      </c>
      <c r="G361" s="146" t="s">
        <v>1429</v>
      </c>
      <c r="H361" s="145" t="s">
        <v>1454</v>
      </c>
      <c r="I361" s="147" t="s">
        <v>1310</v>
      </c>
      <c r="J361" s="144" t="s">
        <v>19</v>
      </c>
    </row>
    <row r="362" spans="1:10" ht="16">
      <c r="A362" s="322" t="s">
        <v>1502</v>
      </c>
      <c r="B362" s="145" t="s">
        <v>1503</v>
      </c>
      <c r="C362" s="146" t="s">
        <v>1504</v>
      </c>
      <c r="D362" s="146" t="s">
        <v>1505</v>
      </c>
      <c r="E362" s="153">
        <v>18744179520</v>
      </c>
      <c r="F362" s="146" t="s">
        <v>1428</v>
      </c>
      <c r="G362" s="146" t="s">
        <v>1429</v>
      </c>
      <c r="H362" s="145" t="s">
        <v>1454</v>
      </c>
      <c r="I362" s="147" t="s">
        <v>1310</v>
      </c>
      <c r="J362" s="144" t="s">
        <v>19</v>
      </c>
    </row>
    <row r="363" spans="1:10" ht="16">
      <c r="A363" s="322" t="s">
        <v>1506</v>
      </c>
      <c r="B363" s="145" t="s">
        <v>1507</v>
      </c>
      <c r="C363" s="146" t="s">
        <v>1508</v>
      </c>
      <c r="D363" s="146" t="s">
        <v>1509</v>
      </c>
      <c r="E363" s="153">
        <v>15948026068</v>
      </c>
      <c r="F363" s="146" t="s">
        <v>1428</v>
      </c>
      <c r="G363" s="146" t="s">
        <v>1429</v>
      </c>
      <c r="H363" s="145" t="s">
        <v>1454</v>
      </c>
      <c r="I363" s="147" t="s">
        <v>1310</v>
      </c>
      <c r="J363" s="144" t="s">
        <v>19</v>
      </c>
    </row>
    <row r="364" spans="1:10" ht="16">
      <c r="A364" s="322" t="s">
        <v>1510</v>
      </c>
      <c r="B364" s="145" t="s">
        <v>1511</v>
      </c>
      <c r="C364" s="146" t="s">
        <v>1512</v>
      </c>
      <c r="D364" s="146" t="s">
        <v>1513</v>
      </c>
      <c r="E364" s="153" t="s">
        <v>1514</v>
      </c>
      <c r="F364" s="146" t="s">
        <v>1428</v>
      </c>
      <c r="G364" s="146" t="s">
        <v>1429</v>
      </c>
      <c r="H364" s="145" t="s">
        <v>1454</v>
      </c>
      <c r="I364" s="147" t="s">
        <v>1310</v>
      </c>
      <c r="J364" s="144" t="s">
        <v>19</v>
      </c>
    </row>
    <row r="365" spans="1:10" ht="16">
      <c r="A365" s="322" t="s">
        <v>1515</v>
      </c>
      <c r="B365" s="145" t="s">
        <v>1516</v>
      </c>
      <c r="C365" s="146" t="s">
        <v>1517</v>
      </c>
      <c r="D365" s="146" t="s">
        <v>1518</v>
      </c>
      <c r="E365" s="153">
        <v>13942868027</v>
      </c>
      <c r="F365" s="146" t="s">
        <v>1428</v>
      </c>
      <c r="G365" s="146" t="s">
        <v>1429</v>
      </c>
      <c r="H365" s="145" t="s">
        <v>1454</v>
      </c>
      <c r="I365" s="147" t="s">
        <v>1310</v>
      </c>
      <c r="J365" s="144" t="s">
        <v>19</v>
      </c>
    </row>
    <row r="366" spans="1:10" ht="16">
      <c r="A366" s="322" t="s">
        <v>1519</v>
      </c>
      <c r="B366" s="145" t="s">
        <v>1520</v>
      </c>
      <c r="C366" s="146" t="s">
        <v>1521</v>
      </c>
      <c r="D366" s="146" t="s">
        <v>1522</v>
      </c>
      <c r="E366" s="153" t="s">
        <v>1523</v>
      </c>
      <c r="F366" s="146" t="s">
        <v>1428</v>
      </c>
      <c r="G366" s="146" t="s">
        <v>1429</v>
      </c>
      <c r="H366" s="145" t="s">
        <v>1454</v>
      </c>
      <c r="I366" s="147" t="s">
        <v>1310</v>
      </c>
      <c r="J366" s="144" t="s">
        <v>59</v>
      </c>
    </row>
    <row r="367" spans="1:10" ht="16">
      <c r="A367" s="322" t="s">
        <v>1524</v>
      </c>
      <c r="B367" s="145" t="s">
        <v>1525</v>
      </c>
      <c r="C367" s="146" t="s">
        <v>1526</v>
      </c>
      <c r="D367" s="146" t="s">
        <v>1527</v>
      </c>
      <c r="E367" s="153" t="s">
        <v>1528</v>
      </c>
      <c r="F367" s="146" t="s">
        <v>1428</v>
      </c>
      <c r="G367" s="146" t="s">
        <v>1429</v>
      </c>
      <c r="H367" s="145" t="s">
        <v>1454</v>
      </c>
      <c r="I367" s="147" t="s">
        <v>1310</v>
      </c>
      <c r="J367" s="144" t="s">
        <v>19</v>
      </c>
    </row>
    <row r="368" spans="1:10" ht="16">
      <c r="A368" s="322" t="s">
        <v>1529</v>
      </c>
      <c r="B368" s="145" t="s">
        <v>1530</v>
      </c>
      <c r="C368" s="146" t="s">
        <v>1531</v>
      </c>
      <c r="D368" s="146" t="s">
        <v>1532</v>
      </c>
      <c r="E368" s="153">
        <v>18604329186</v>
      </c>
      <c r="F368" s="146" t="s">
        <v>1428</v>
      </c>
      <c r="G368" s="146" t="s">
        <v>1429</v>
      </c>
      <c r="H368" s="145" t="s">
        <v>1454</v>
      </c>
      <c r="I368" s="147" t="s">
        <v>1310</v>
      </c>
      <c r="J368" s="144" t="s">
        <v>19</v>
      </c>
    </row>
    <row r="369" spans="1:10" ht="16">
      <c r="A369" s="322" t="s">
        <v>1533</v>
      </c>
      <c r="B369" s="145" t="s">
        <v>1534</v>
      </c>
      <c r="C369" s="146" t="s">
        <v>1535</v>
      </c>
      <c r="D369" s="146" t="s">
        <v>1536</v>
      </c>
      <c r="E369" s="153" t="s">
        <v>1537</v>
      </c>
      <c r="F369" s="146" t="s">
        <v>1428</v>
      </c>
      <c r="G369" s="146" t="s">
        <v>1429</v>
      </c>
      <c r="H369" s="145" t="s">
        <v>1454</v>
      </c>
      <c r="I369" s="147" t="s">
        <v>1310</v>
      </c>
      <c r="J369" s="144" t="s">
        <v>19</v>
      </c>
    </row>
    <row r="370" spans="1:10" s="161" customFormat="1" ht="16">
      <c r="A370" s="323"/>
      <c r="B370" s="156"/>
      <c r="C370" s="157"/>
      <c r="D370" s="157"/>
      <c r="E370" s="158"/>
      <c r="F370" s="157"/>
      <c r="G370" s="157"/>
      <c r="H370" s="156"/>
      <c r="I370" s="159"/>
      <c r="J370" s="160"/>
    </row>
    <row r="371" spans="1:10" ht="16">
      <c r="A371" s="324" t="s">
        <v>1538</v>
      </c>
      <c r="B371" s="145" t="s">
        <v>1353</v>
      </c>
      <c r="C371" s="146" t="s">
        <v>1354</v>
      </c>
      <c r="D371" s="146" t="s">
        <v>1355</v>
      </c>
      <c r="E371" s="153">
        <v>17649982884</v>
      </c>
      <c r="F371" s="146" t="s">
        <v>57</v>
      </c>
      <c r="G371" s="146" t="s">
        <v>485</v>
      </c>
      <c r="H371" s="145" t="s">
        <v>1103</v>
      </c>
      <c r="I371" s="147" t="s">
        <v>1539</v>
      </c>
      <c r="J371" s="144" t="s">
        <v>19</v>
      </c>
    </row>
    <row r="372" spans="1:10" ht="16">
      <c r="A372" s="324" t="s">
        <v>1540</v>
      </c>
      <c r="B372" s="145" t="s">
        <v>1361</v>
      </c>
      <c r="C372" s="146" t="s">
        <v>1362</v>
      </c>
      <c r="D372" s="146" t="s">
        <v>1363</v>
      </c>
      <c r="E372" s="153">
        <v>17196999444</v>
      </c>
      <c r="F372" s="146" t="s">
        <v>57</v>
      </c>
      <c r="G372" s="146" t="s">
        <v>485</v>
      </c>
      <c r="H372" s="145" t="s">
        <v>1103</v>
      </c>
      <c r="I372" s="147" t="s">
        <v>1539</v>
      </c>
      <c r="J372" s="144" t="s">
        <v>19</v>
      </c>
    </row>
    <row r="373" spans="1:10" ht="16">
      <c r="A373" s="324" t="s">
        <v>1541</v>
      </c>
      <c r="B373" s="145" t="s">
        <v>1370</v>
      </c>
      <c r="C373" s="146" t="s">
        <v>1371</v>
      </c>
      <c r="D373" s="146" t="s">
        <v>1372</v>
      </c>
      <c r="E373" s="153">
        <v>13624462680</v>
      </c>
      <c r="F373" s="146" t="s">
        <v>57</v>
      </c>
      <c r="G373" s="146" t="s">
        <v>485</v>
      </c>
      <c r="H373" s="145" t="s">
        <v>1103</v>
      </c>
      <c r="I373" s="147" t="s">
        <v>1539</v>
      </c>
      <c r="J373" s="144" t="s">
        <v>19</v>
      </c>
    </row>
    <row r="374" spans="1:10" ht="16">
      <c r="A374" s="324" t="s">
        <v>1542</v>
      </c>
      <c r="B374" s="145" t="s">
        <v>12</v>
      </c>
      <c r="C374" s="146" t="s">
        <v>1386</v>
      </c>
      <c r="D374" s="146" t="s">
        <v>14</v>
      </c>
      <c r="E374" s="153">
        <v>17649818786</v>
      </c>
      <c r="F374" s="146" t="s">
        <v>57</v>
      </c>
      <c r="G374" s="146" t="s">
        <v>485</v>
      </c>
      <c r="H374" s="145" t="s">
        <v>1103</v>
      </c>
      <c r="I374" s="147" t="s">
        <v>1539</v>
      </c>
      <c r="J374" s="144" t="s">
        <v>19</v>
      </c>
    </row>
    <row r="375" spans="1:10" ht="16">
      <c r="A375" s="324" t="s">
        <v>1543</v>
      </c>
      <c r="B375" s="145" t="s">
        <v>1544</v>
      </c>
      <c r="C375" s="146" t="s">
        <v>1397</v>
      </c>
      <c r="D375" s="146" t="s">
        <v>1545</v>
      </c>
      <c r="E375" s="153">
        <v>15704447870</v>
      </c>
      <c r="F375" s="146" t="s">
        <v>57</v>
      </c>
      <c r="G375" s="146" t="s">
        <v>485</v>
      </c>
      <c r="H375" s="145" t="s">
        <v>1103</v>
      </c>
      <c r="I375" s="147" t="s">
        <v>1539</v>
      </c>
      <c r="J375" s="144" t="s">
        <v>19</v>
      </c>
    </row>
    <row r="376" spans="1:10" ht="16">
      <c r="A376" s="324" t="s">
        <v>1546</v>
      </c>
      <c r="B376" s="145" t="s">
        <v>1547</v>
      </c>
      <c r="C376" s="146" t="s">
        <v>1548</v>
      </c>
      <c r="D376" s="146" t="s">
        <v>1549</v>
      </c>
      <c r="E376" s="153">
        <v>13465880909</v>
      </c>
      <c r="F376" s="146" t="s">
        <v>1040</v>
      </c>
      <c r="G376" s="146" t="s">
        <v>1041</v>
      </c>
      <c r="H376" s="145" t="s">
        <v>96</v>
      </c>
      <c r="I376" s="147" t="s">
        <v>1539</v>
      </c>
      <c r="J376" s="144" t="s">
        <v>59</v>
      </c>
    </row>
    <row r="377" spans="1:10" ht="16">
      <c r="A377" s="324" t="s">
        <v>1550</v>
      </c>
      <c r="B377" s="145" t="s">
        <v>1551</v>
      </c>
      <c r="C377" s="146" t="s">
        <v>1552</v>
      </c>
      <c r="D377" s="146" t="s">
        <v>1553</v>
      </c>
      <c r="E377" s="153">
        <v>18260438090</v>
      </c>
      <c r="F377" s="146" t="s">
        <v>1040</v>
      </c>
      <c r="G377" s="146" t="s">
        <v>1041</v>
      </c>
      <c r="H377" s="145" t="s">
        <v>96</v>
      </c>
      <c r="I377" s="147" t="s">
        <v>1539</v>
      </c>
      <c r="J377" s="144" t="s">
        <v>59</v>
      </c>
    </row>
    <row r="378" spans="1:10" ht="16">
      <c r="A378" s="324" t="s">
        <v>1554</v>
      </c>
      <c r="B378" s="145" t="s">
        <v>1555</v>
      </c>
      <c r="C378" s="146" t="s">
        <v>1556</v>
      </c>
      <c r="D378" s="146" t="s">
        <v>1557</v>
      </c>
      <c r="E378" s="153">
        <v>17755374325</v>
      </c>
      <c r="F378" s="146" t="s">
        <v>1558</v>
      </c>
      <c r="G378" s="146" t="s">
        <v>1559</v>
      </c>
      <c r="H378" s="145" t="s">
        <v>1103</v>
      </c>
      <c r="I378" s="147" t="s">
        <v>1539</v>
      </c>
      <c r="J378" s="144" t="s">
        <v>19</v>
      </c>
    </row>
    <row r="379" spans="1:10" ht="16">
      <c r="A379" s="324" t="s">
        <v>1560</v>
      </c>
      <c r="B379" s="145" t="s">
        <v>1178</v>
      </c>
      <c r="C379" s="146" t="s">
        <v>1179</v>
      </c>
      <c r="D379" s="146" t="s">
        <v>1180</v>
      </c>
      <c r="E379" s="153" t="s">
        <v>1561</v>
      </c>
      <c r="F379" s="146" t="s">
        <v>1171</v>
      </c>
      <c r="G379" s="146" t="s">
        <v>1061</v>
      </c>
      <c r="H379" s="145" t="s">
        <v>1103</v>
      </c>
      <c r="I379" s="147" t="s">
        <v>1539</v>
      </c>
      <c r="J379" s="144" t="s">
        <v>19</v>
      </c>
    </row>
    <row r="380" spans="1:10" ht="16">
      <c r="A380" s="324" t="s">
        <v>1562</v>
      </c>
      <c r="B380" s="145" t="s">
        <v>1196</v>
      </c>
      <c r="C380" s="146" t="s">
        <v>1563</v>
      </c>
      <c r="D380" s="146" t="s">
        <v>1198</v>
      </c>
      <c r="E380" s="153">
        <v>13971026467</v>
      </c>
      <c r="F380" s="146" t="s">
        <v>1564</v>
      </c>
      <c r="G380" s="146" t="s">
        <v>1565</v>
      </c>
      <c r="H380" s="145" t="s">
        <v>1103</v>
      </c>
      <c r="I380" s="147" t="s">
        <v>1539</v>
      </c>
      <c r="J380" s="144" t="s">
        <v>59</v>
      </c>
    </row>
    <row r="381" spans="1:10" ht="16">
      <c r="A381" s="324" t="s">
        <v>1566</v>
      </c>
      <c r="B381" s="145" t="s">
        <v>1037</v>
      </c>
      <c r="C381" s="146" t="s">
        <v>1567</v>
      </c>
      <c r="D381" s="146" t="s">
        <v>1568</v>
      </c>
      <c r="E381" s="153">
        <v>13233419135</v>
      </c>
      <c r="F381" s="146" t="s">
        <v>1564</v>
      </c>
      <c r="G381" s="146" t="s">
        <v>1565</v>
      </c>
      <c r="H381" s="145" t="s">
        <v>1103</v>
      </c>
      <c r="I381" s="147" t="s">
        <v>1539</v>
      </c>
      <c r="J381" s="144" t="s">
        <v>19</v>
      </c>
    </row>
    <row r="382" spans="1:10" ht="16">
      <c r="A382" s="324" t="s">
        <v>1569</v>
      </c>
      <c r="B382" s="145" t="s">
        <v>1570</v>
      </c>
      <c r="C382" s="146" t="s">
        <v>1571</v>
      </c>
      <c r="D382" s="146" t="s">
        <v>1572</v>
      </c>
      <c r="E382" s="153">
        <v>15004482947</v>
      </c>
      <c r="F382" s="146" t="s">
        <v>742</v>
      </c>
      <c r="G382" s="146" t="s">
        <v>1573</v>
      </c>
      <c r="H382" s="145" t="s">
        <v>1103</v>
      </c>
      <c r="I382" s="147" t="s">
        <v>1539</v>
      </c>
      <c r="J382" s="144" t="s">
        <v>19</v>
      </c>
    </row>
    <row r="383" spans="1:10" ht="16">
      <c r="A383" s="324" t="s">
        <v>1574</v>
      </c>
      <c r="B383" s="145" t="s">
        <v>1575</v>
      </c>
      <c r="C383" s="146" t="s">
        <v>1576</v>
      </c>
      <c r="D383" s="146" t="s">
        <v>1577</v>
      </c>
      <c r="E383" s="153">
        <v>17684371971</v>
      </c>
      <c r="F383" s="146" t="s">
        <v>742</v>
      </c>
      <c r="G383" s="146" t="s">
        <v>1573</v>
      </c>
      <c r="H383" s="145" t="s">
        <v>1103</v>
      </c>
      <c r="I383" s="147" t="s">
        <v>1539</v>
      </c>
      <c r="J383" s="144" t="s">
        <v>19</v>
      </c>
    </row>
    <row r="384" spans="1:10" ht="16">
      <c r="A384" s="324" t="s">
        <v>1578</v>
      </c>
      <c r="B384" s="145" t="s">
        <v>1579</v>
      </c>
      <c r="C384" s="146" t="s">
        <v>1580</v>
      </c>
      <c r="D384" s="146" t="s">
        <v>1581</v>
      </c>
      <c r="E384" s="153">
        <v>18341705246</v>
      </c>
      <c r="F384" s="146" t="s">
        <v>742</v>
      </c>
      <c r="G384" s="146" t="s">
        <v>1573</v>
      </c>
      <c r="H384" s="145" t="s">
        <v>1103</v>
      </c>
      <c r="I384" s="147" t="s">
        <v>1539</v>
      </c>
      <c r="J384" s="144" t="s">
        <v>19</v>
      </c>
    </row>
    <row r="385" spans="1:10" ht="16">
      <c r="A385" s="324" t="s">
        <v>1582</v>
      </c>
      <c r="B385" s="145" t="s">
        <v>1316</v>
      </c>
      <c r="C385" s="146" t="s">
        <v>1317</v>
      </c>
      <c r="D385" s="146" t="s">
        <v>1318</v>
      </c>
      <c r="E385" s="153">
        <v>17678319452</v>
      </c>
      <c r="F385" s="146" t="s">
        <v>57</v>
      </c>
      <c r="G385" s="146" t="s">
        <v>485</v>
      </c>
      <c r="H385" s="145" t="s">
        <v>39</v>
      </c>
      <c r="I385" s="147" t="s">
        <v>1539</v>
      </c>
      <c r="J385" s="144" t="s">
        <v>19</v>
      </c>
    </row>
    <row r="386" spans="1:10" ht="16">
      <c r="A386" s="324" t="s">
        <v>1583</v>
      </c>
      <c r="B386" s="145" t="s">
        <v>1584</v>
      </c>
      <c r="C386" s="146" t="s">
        <v>1329</v>
      </c>
      <c r="D386" s="146" t="s">
        <v>1585</v>
      </c>
      <c r="E386" s="153">
        <v>18686571282</v>
      </c>
      <c r="F386" s="146" t="s">
        <v>57</v>
      </c>
      <c r="G386" s="146" t="s">
        <v>485</v>
      </c>
      <c r="H386" s="145" t="s">
        <v>39</v>
      </c>
      <c r="I386" s="147" t="s">
        <v>1539</v>
      </c>
      <c r="J386" s="144" t="s">
        <v>19</v>
      </c>
    </row>
    <row r="387" spans="1:10" ht="16">
      <c r="A387" s="324" t="s">
        <v>1586</v>
      </c>
      <c r="B387" s="145" t="s">
        <v>1332</v>
      </c>
      <c r="C387" s="146" t="s">
        <v>1333</v>
      </c>
      <c r="D387" s="146" t="s">
        <v>1587</v>
      </c>
      <c r="E387" s="153">
        <v>15190124909</v>
      </c>
      <c r="F387" s="146" t="s">
        <v>57</v>
      </c>
      <c r="G387" s="146" t="s">
        <v>485</v>
      </c>
      <c r="H387" s="145" t="s">
        <v>39</v>
      </c>
      <c r="I387" s="147" t="s">
        <v>1539</v>
      </c>
      <c r="J387" s="144" t="s">
        <v>59</v>
      </c>
    </row>
    <row r="388" spans="1:10" ht="16">
      <c r="A388" s="324" t="s">
        <v>1588</v>
      </c>
      <c r="B388" s="145" t="s">
        <v>1336</v>
      </c>
      <c r="C388" s="146" t="s">
        <v>1337</v>
      </c>
      <c r="D388" s="146" t="s">
        <v>1338</v>
      </c>
      <c r="E388" s="153">
        <v>15044040921</v>
      </c>
      <c r="F388" s="146" t="s">
        <v>57</v>
      </c>
      <c r="G388" s="146" t="s">
        <v>485</v>
      </c>
      <c r="H388" s="145" t="s">
        <v>39</v>
      </c>
      <c r="I388" s="147" t="s">
        <v>1539</v>
      </c>
      <c r="J388" s="144" t="s">
        <v>19</v>
      </c>
    </row>
    <row r="389" spans="1:10" ht="16">
      <c r="A389" s="324" t="s">
        <v>1589</v>
      </c>
      <c r="B389" s="145" t="s">
        <v>1590</v>
      </c>
      <c r="C389" s="146" t="s">
        <v>1591</v>
      </c>
      <c r="D389" s="146" t="s">
        <v>1592</v>
      </c>
      <c r="E389" s="153">
        <v>13280866605</v>
      </c>
      <c r="F389" s="146" t="s">
        <v>560</v>
      </c>
      <c r="G389" s="146" t="s">
        <v>1593</v>
      </c>
      <c r="H389" s="145" t="s">
        <v>39</v>
      </c>
      <c r="I389" s="147" t="s">
        <v>1539</v>
      </c>
      <c r="J389" s="144" t="s">
        <v>59</v>
      </c>
    </row>
    <row r="390" spans="1:10" ht="16">
      <c r="A390" s="324" t="s">
        <v>1594</v>
      </c>
      <c r="B390" s="145" t="s">
        <v>628</v>
      </c>
      <c r="C390" s="146" t="s">
        <v>629</v>
      </c>
      <c r="D390" s="146" t="s">
        <v>630</v>
      </c>
      <c r="E390" s="153">
        <v>15222071621</v>
      </c>
      <c r="F390" s="146" t="s">
        <v>560</v>
      </c>
      <c r="G390" s="146" t="s">
        <v>1593</v>
      </c>
      <c r="H390" s="145" t="s">
        <v>39</v>
      </c>
      <c r="I390" s="147" t="s">
        <v>1539</v>
      </c>
      <c r="J390" s="144" t="s">
        <v>59</v>
      </c>
    </row>
    <row r="391" spans="1:10" ht="16">
      <c r="A391" s="324" t="s">
        <v>1595</v>
      </c>
      <c r="B391" s="145" t="s">
        <v>1596</v>
      </c>
      <c r="C391" s="146" t="s">
        <v>1597</v>
      </c>
      <c r="D391" s="146" t="s">
        <v>1598</v>
      </c>
      <c r="E391" s="153">
        <v>18043051758</v>
      </c>
      <c r="F391" s="146" t="s">
        <v>560</v>
      </c>
      <c r="G391" s="146" t="s">
        <v>1593</v>
      </c>
      <c r="H391" s="145" t="s">
        <v>39</v>
      </c>
      <c r="I391" s="147" t="s">
        <v>1539</v>
      </c>
      <c r="J391" s="144" t="s">
        <v>59</v>
      </c>
    </row>
    <row r="392" spans="1:10" ht="16">
      <c r="A392" s="324" t="s">
        <v>1599</v>
      </c>
      <c r="B392" s="145" t="s">
        <v>1600</v>
      </c>
      <c r="C392" s="146" t="s">
        <v>1601</v>
      </c>
      <c r="D392" s="146" t="s">
        <v>1602</v>
      </c>
      <c r="E392" s="153">
        <v>13630392040</v>
      </c>
      <c r="F392" s="146" t="s">
        <v>560</v>
      </c>
      <c r="G392" s="146" t="s">
        <v>1593</v>
      </c>
      <c r="H392" s="145" t="s">
        <v>1603</v>
      </c>
      <c r="I392" s="147" t="s">
        <v>1539</v>
      </c>
      <c r="J392" s="144" t="s">
        <v>19</v>
      </c>
    </row>
    <row r="393" spans="1:10" ht="16">
      <c r="A393" s="324" t="s">
        <v>1604</v>
      </c>
      <c r="B393" s="145" t="s">
        <v>1605</v>
      </c>
      <c r="C393" s="146" t="s">
        <v>1606</v>
      </c>
      <c r="D393" s="146" t="s">
        <v>1607</v>
      </c>
      <c r="E393" s="153">
        <v>13089181571</v>
      </c>
      <c r="F393" s="146" t="s">
        <v>560</v>
      </c>
      <c r="G393" s="146" t="s">
        <v>1593</v>
      </c>
      <c r="H393" s="145" t="s">
        <v>1603</v>
      </c>
      <c r="I393" s="147" t="s">
        <v>1539</v>
      </c>
      <c r="J393" s="144" t="s">
        <v>19</v>
      </c>
    </row>
    <row r="394" spans="1:10" ht="16">
      <c r="A394" s="324" t="s">
        <v>1608</v>
      </c>
      <c r="B394" s="145" t="s">
        <v>1609</v>
      </c>
      <c r="C394" s="146" t="s">
        <v>1610</v>
      </c>
      <c r="D394" s="146" t="s">
        <v>1611</v>
      </c>
      <c r="E394" s="153">
        <v>17678385592</v>
      </c>
      <c r="F394" s="146" t="s">
        <v>560</v>
      </c>
      <c r="G394" s="146" t="s">
        <v>1593</v>
      </c>
      <c r="H394" s="145" t="s">
        <v>1603</v>
      </c>
      <c r="I394" s="147" t="s">
        <v>1539</v>
      </c>
      <c r="J394" s="144"/>
    </row>
    <row r="395" spans="1:10" ht="16">
      <c r="A395" s="324" t="s">
        <v>1612</v>
      </c>
      <c r="B395" s="145" t="s">
        <v>1613</v>
      </c>
      <c r="C395" s="146" t="s">
        <v>1614</v>
      </c>
      <c r="D395" s="146" t="s">
        <v>1615</v>
      </c>
      <c r="E395" s="153">
        <v>13321416203</v>
      </c>
      <c r="F395" s="146" t="s">
        <v>560</v>
      </c>
      <c r="G395" s="146" t="s">
        <v>1593</v>
      </c>
      <c r="H395" s="145" t="s">
        <v>1603</v>
      </c>
      <c r="I395" s="147" t="s">
        <v>1539</v>
      </c>
      <c r="J395" s="144" t="s">
        <v>19</v>
      </c>
    </row>
    <row r="396" spans="1:10" ht="16">
      <c r="A396" s="324" t="s">
        <v>1616</v>
      </c>
      <c r="B396" s="145" t="s">
        <v>593</v>
      </c>
      <c r="C396" s="146" t="s">
        <v>594</v>
      </c>
      <c r="D396" s="146" t="s">
        <v>595</v>
      </c>
      <c r="E396" s="153">
        <v>17863622739</v>
      </c>
      <c r="F396" s="146" t="s">
        <v>560</v>
      </c>
      <c r="G396" s="146" t="s">
        <v>1593</v>
      </c>
      <c r="H396" s="145" t="s">
        <v>1603</v>
      </c>
      <c r="I396" s="147" t="s">
        <v>1539</v>
      </c>
      <c r="J396" s="144" t="s">
        <v>19</v>
      </c>
    </row>
    <row r="397" spans="1:10" ht="16">
      <c r="A397" s="324" t="s">
        <v>1617</v>
      </c>
      <c r="B397" s="145" t="s">
        <v>768</v>
      </c>
      <c r="C397" s="146" t="s">
        <v>1618</v>
      </c>
      <c r="D397" s="146" t="s">
        <v>770</v>
      </c>
      <c r="E397" s="153">
        <v>18817693710</v>
      </c>
      <c r="F397" s="146" t="s">
        <v>755</v>
      </c>
      <c r="G397" s="146" t="s">
        <v>1619</v>
      </c>
      <c r="H397" s="145" t="s">
        <v>96</v>
      </c>
      <c r="I397" s="147" t="s">
        <v>1539</v>
      </c>
      <c r="J397" s="144" t="s">
        <v>19</v>
      </c>
    </row>
    <row r="398" spans="1:10" ht="16">
      <c r="A398" s="324" t="s">
        <v>1620</v>
      </c>
      <c r="B398" s="145" t="s">
        <v>1621</v>
      </c>
      <c r="C398" s="146" t="s">
        <v>1622</v>
      </c>
      <c r="D398" s="146" t="s">
        <v>1623</v>
      </c>
      <c r="E398" s="153">
        <v>18503523141</v>
      </c>
      <c r="F398" s="146" t="s">
        <v>775</v>
      </c>
      <c r="G398" s="146" t="s">
        <v>1624</v>
      </c>
      <c r="H398" s="145" t="s">
        <v>96</v>
      </c>
      <c r="I398" s="147" t="s">
        <v>1539</v>
      </c>
      <c r="J398" s="144" t="s">
        <v>59</v>
      </c>
    </row>
    <row r="399" spans="1:10" ht="16">
      <c r="A399" s="324" t="s">
        <v>1625</v>
      </c>
      <c r="B399" s="145" t="s">
        <v>1626</v>
      </c>
      <c r="C399" s="146" t="s">
        <v>1627</v>
      </c>
      <c r="D399" s="146" t="s">
        <v>1628</v>
      </c>
      <c r="E399" s="153">
        <v>13969968403</v>
      </c>
      <c r="F399" s="146" t="s">
        <v>775</v>
      </c>
      <c r="G399" s="146" t="s">
        <v>776</v>
      </c>
      <c r="H399" s="145" t="s">
        <v>96</v>
      </c>
      <c r="I399" s="147" t="s">
        <v>1539</v>
      </c>
      <c r="J399" s="144" t="s">
        <v>19</v>
      </c>
    </row>
    <row r="400" spans="1:10" ht="16">
      <c r="A400" s="324" t="s">
        <v>1629</v>
      </c>
      <c r="B400" s="145" t="s">
        <v>794</v>
      </c>
      <c r="C400" s="146" t="s">
        <v>1630</v>
      </c>
      <c r="D400" s="146" t="s">
        <v>796</v>
      </c>
      <c r="E400" s="153">
        <v>15971609223</v>
      </c>
      <c r="F400" s="146" t="s">
        <v>775</v>
      </c>
      <c r="G400" s="146" t="s">
        <v>1624</v>
      </c>
      <c r="H400" s="145" t="s">
        <v>96</v>
      </c>
      <c r="I400" s="147" t="s">
        <v>1539</v>
      </c>
      <c r="J400" s="144" t="s">
        <v>19</v>
      </c>
    </row>
    <row r="401" spans="1:10" ht="16">
      <c r="A401" s="324" t="s">
        <v>1631</v>
      </c>
      <c r="B401" s="145" t="s">
        <v>1269</v>
      </c>
      <c r="C401" s="146" t="s">
        <v>1632</v>
      </c>
      <c r="D401" s="146" t="s">
        <v>1271</v>
      </c>
      <c r="E401" s="153">
        <v>14794333537</v>
      </c>
      <c r="F401" s="146" t="s">
        <v>775</v>
      </c>
      <c r="G401" s="146" t="s">
        <v>1624</v>
      </c>
      <c r="H401" s="145" t="s">
        <v>96</v>
      </c>
      <c r="I401" s="147" t="s">
        <v>1539</v>
      </c>
      <c r="J401" s="144" t="s">
        <v>19</v>
      </c>
    </row>
    <row r="402" spans="1:10" ht="16">
      <c r="A402" s="324" t="s">
        <v>1633</v>
      </c>
      <c r="B402" s="145" t="s">
        <v>1634</v>
      </c>
      <c r="C402" s="146" t="s">
        <v>1635</v>
      </c>
      <c r="D402" s="146" t="s">
        <v>1636</v>
      </c>
      <c r="E402" s="153">
        <v>13840964661</v>
      </c>
      <c r="F402" s="146" t="s">
        <v>742</v>
      </c>
      <c r="G402" s="146" t="s">
        <v>1637</v>
      </c>
      <c r="H402" s="145" t="s">
        <v>96</v>
      </c>
      <c r="I402" s="147" t="s">
        <v>1539</v>
      </c>
      <c r="J402" s="144" t="s">
        <v>19</v>
      </c>
    </row>
    <row r="403" spans="1:10" ht="16">
      <c r="A403" s="324" t="s">
        <v>1638</v>
      </c>
      <c r="B403" s="145" t="s">
        <v>1639</v>
      </c>
      <c r="C403" s="146" t="s">
        <v>1640</v>
      </c>
      <c r="D403" s="146" t="s">
        <v>1641</v>
      </c>
      <c r="E403" s="153">
        <v>13052209920</v>
      </c>
      <c r="F403" s="146" t="s">
        <v>641</v>
      </c>
      <c r="G403" s="146" t="s">
        <v>642</v>
      </c>
      <c r="H403" s="145" t="s">
        <v>96</v>
      </c>
      <c r="I403" s="147" t="s">
        <v>1539</v>
      </c>
      <c r="J403" s="144" t="s">
        <v>19</v>
      </c>
    </row>
    <row r="404" spans="1:10" ht="16">
      <c r="A404" s="324" t="s">
        <v>1642</v>
      </c>
      <c r="B404" s="145" t="s">
        <v>711</v>
      </c>
      <c r="C404" s="146" t="s">
        <v>1298</v>
      </c>
      <c r="D404" s="146" t="s">
        <v>713</v>
      </c>
      <c r="E404" s="153">
        <v>13773812711</v>
      </c>
      <c r="F404" s="146" t="s">
        <v>696</v>
      </c>
      <c r="G404" s="146" t="s">
        <v>697</v>
      </c>
      <c r="H404" s="145" t="s">
        <v>96</v>
      </c>
      <c r="I404" s="147" t="s">
        <v>1539</v>
      </c>
      <c r="J404" s="144" t="s">
        <v>19</v>
      </c>
    </row>
    <row r="405" spans="1:10" ht="16">
      <c r="A405" s="324" t="s">
        <v>1643</v>
      </c>
      <c r="B405" s="145" t="s">
        <v>1299</v>
      </c>
      <c r="C405" s="146" t="s">
        <v>1300</v>
      </c>
      <c r="D405" s="146" t="s">
        <v>1301</v>
      </c>
      <c r="E405" s="153">
        <v>17364080875</v>
      </c>
      <c r="F405" s="146" t="s">
        <v>696</v>
      </c>
      <c r="G405" s="146" t="s">
        <v>697</v>
      </c>
      <c r="H405" s="145" t="s">
        <v>96</v>
      </c>
      <c r="I405" s="147" t="s">
        <v>1539</v>
      </c>
      <c r="J405" s="144" t="s">
        <v>19</v>
      </c>
    </row>
    <row r="406" spans="1:10" ht="16">
      <c r="A406" s="324" t="s">
        <v>1644</v>
      </c>
      <c r="B406" s="145" t="s">
        <v>1645</v>
      </c>
      <c r="C406" s="146" t="s">
        <v>1646</v>
      </c>
      <c r="D406" s="146" t="s">
        <v>1647</v>
      </c>
      <c r="E406" s="153" t="s">
        <v>1648</v>
      </c>
      <c r="F406" s="146" t="s">
        <v>387</v>
      </c>
      <c r="G406" s="146" t="s">
        <v>1649</v>
      </c>
      <c r="H406" s="145" t="s">
        <v>96</v>
      </c>
      <c r="I406" s="147" t="s">
        <v>1539</v>
      </c>
      <c r="J406" s="144" t="s">
        <v>59</v>
      </c>
    </row>
    <row r="407" spans="1:10" ht="16">
      <c r="A407" s="324" t="s">
        <v>1650</v>
      </c>
      <c r="B407" s="145" t="s">
        <v>1651</v>
      </c>
      <c r="C407" s="146" t="s">
        <v>1652</v>
      </c>
      <c r="D407" s="146" t="s">
        <v>1653</v>
      </c>
      <c r="E407" s="153" t="s">
        <v>1654</v>
      </c>
      <c r="F407" s="146" t="s">
        <v>387</v>
      </c>
      <c r="G407" s="146" t="s">
        <v>1649</v>
      </c>
      <c r="H407" s="145" t="s">
        <v>96</v>
      </c>
      <c r="I407" s="147" t="s">
        <v>1539</v>
      </c>
      <c r="J407" s="144" t="s">
        <v>59</v>
      </c>
    </row>
    <row r="408" spans="1:10" ht="16">
      <c r="A408" s="324" t="s">
        <v>1655</v>
      </c>
      <c r="B408" s="145" t="s">
        <v>1656</v>
      </c>
      <c r="C408" s="146" t="s">
        <v>1657</v>
      </c>
      <c r="D408" s="146" t="s">
        <v>1658</v>
      </c>
      <c r="E408" s="153">
        <v>15566737494</v>
      </c>
      <c r="F408" s="146" t="s">
        <v>742</v>
      </c>
      <c r="G408" s="146" t="s">
        <v>1573</v>
      </c>
      <c r="H408" s="145" t="s">
        <v>1103</v>
      </c>
      <c r="I408" s="147" t="s">
        <v>1539</v>
      </c>
      <c r="J408" s="144" t="s">
        <v>19</v>
      </c>
    </row>
    <row r="409" spans="1:10" ht="16">
      <c r="A409" s="324" t="s">
        <v>1659</v>
      </c>
      <c r="B409" s="145" t="s">
        <v>1272</v>
      </c>
      <c r="C409" s="146" t="s">
        <v>1660</v>
      </c>
      <c r="D409" s="146" t="s">
        <v>1274</v>
      </c>
      <c r="E409" s="153">
        <v>18110229737</v>
      </c>
      <c r="F409" s="146" t="s">
        <v>755</v>
      </c>
      <c r="G409" s="146" t="s">
        <v>1619</v>
      </c>
      <c r="H409" s="145" t="s">
        <v>96</v>
      </c>
      <c r="I409" s="147" t="s">
        <v>1539</v>
      </c>
      <c r="J409" s="144" t="s">
        <v>19</v>
      </c>
    </row>
    <row r="410" spans="1:10" ht="16">
      <c r="A410" s="324" t="s">
        <v>1661</v>
      </c>
      <c r="B410" s="145" t="s">
        <v>1662</v>
      </c>
      <c r="C410" s="146" t="s">
        <v>1663</v>
      </c>
      <c r="D410" s="146" t="s">
        <v>1664</v>
      </c>
      <c r="E410" s="153">
        <v>13147845394</v>
      </c>
      <c r="F410" s="146" t="s">
        <v>742</v>
      </c>
      <c r="G410" s="146" t="s">
        <v>1573</v>
      </c>
      <c r="H410" s="145" t="s">
        <v>1103</v>
      </c>
      <c r="I410" s="147" t="s">
        <v>1539</v>
      </c>
      <c r="J410" s="144" t="s">
        <v>19</v>
      </c>
    </row>
    <row r="411" spans="1:10" ht="16">
      <c r="A411" s="324" t="s">
        <v>1665</v>
      </c>
      <c r="B411" s="145" t="s">
        <v>1287</v>
      </c>
      <c r="C411" s="146" t="s">
        <v>1666</v>
      </c>
      <c r="D411" s="146" t="s">
        <v>1289</v>
      </c>
      <c r="E411" s="153">
        <v>17634724814</v>
      </c>
      <c r="F411" s="146" t="s">
        <v>1667</v>
      </c>
      <c r="G411" s="146" t="s">
        <v>642</v>
      </c>
      <c r="H411" s="145" t="s">
        <v>96</v>
      </c>
      <c r="I411" s="147" t="s">
        <v>1539</v>
      </c>
      <c r="J411" s="144" t="s">
        <v>59</v>
      </c>
    </row>
    <row r="412" spans="1:10" ht="16">
      <c r="A412" s="324" t="s">
        <v>1668</v>
      </c>
      <c r="B412" s="145" t="s">
        <v>1669</v>
      </c>
      <c r="C412" s="146" t="s">
        <v>1670</v>
      </c>
      <c r="D412" s="146" t="s">
        <v>1671</v>
      </c>
      <c r="E412" s="153">
        <v>13262577478</v>
      </c>
      <c r="F412" s="146" t="s">
        <v>1667</v>
      </c>
      <c r="G412" s="146" t="s">
        <v>642</v>
      </c>
      <c r="H412" s="145" t="s">
        <v>96</v>
      </c>
      <c r="I412" s="147" t="s">
        <v>1539</v>
      </c>
      <c r="J412" s="144" t="s">
        <v>59</v>
      </c>
    </row>
    <row r="413" spans="1:10" ht="16">
      <c r="A413" s="324" t="s">
        <v>1672</v>
      </c>
      <c r="B413" s="145" t="s">
        <v>1673</v>
      </c>
      <c r="C413" s="146" t="s">
        <v>1674</v>
      </c>
      <c r="D413" s="146" t="s">
        <v>1675</v>
      </c>
      <c r="E413" s="153">
        <v>15542808252</v>
      </c>
      <c r="F413" s="146" t="s">
        <v>742</v>
      </c>
      <c r="G413" s="146" t="s">
        <v>1573</v>
      </c>
      <c r="H413" s="145" t="s">
        <v>1103</v>
      </c>
      <c r="I413" s="147" t="s">
        <v>1539</v>
      </c>
      <c r="J413" s="144" t="s">
        <v>19</v>
      </c>
    </row>
    <row r="414" spans="1:10" ht="16">
      <c r="A414" s="324" t="s">
        <v>1676</v>
      </c>
      <c r="B414" s="145" t="s">
        <v>1677</v>
      </c>
      <c r="C414" s="146" t="s">
        <v>1678</v>
      </c>
      <c r="D414" s="146" t="s">
        <v>1679</v>
      </c>
      <c r="E414" s="153">
        <v>13080067764</v>
      </c>
      <c r="F414" s="146" t="s">
        <v>1141</v>
      </c>
      <c r="G414" s="146" t="s">
        <v>1680</v>
      </c>
      <c r="H414" s="145" t="s">
        <v>1103</v>
      </c>
      <c r="I414" s="147" t="s">
        <v>1539</v>
      </c>
      <c r="J414" s="144" t="s">
        <v>19</v>
      </c>
    </row>
    <row r="415" spans="1:10" ht="16">
      <c r="A415" s="324" t="s">
        <v>1681</v>
      </c>
      <c r="B415" s="145" t="s">
        <v>1154</v>
      </c>
      <c r="C415" s="146" t="s">
        <v>1155</v>
      </c>
      <c r="D415" s="146" t="s">
        <v>1156</v>
      </c>
      <c r="E415" s="153">
        <v>18265823936</v>
      </c>
      <c r="F415" s="146" t="s">
        <v>1141</v>
      </c>
      <c r="G415" s="146" t="s">
        <v>1680</v>
      </c>
      <c r="H415" s="145" t="s">
        <v>1103</v>
      </c>
      <c r="I415" s="147" t="s">
        <v>1539</v>
      </c>
      <c r="J415" s="144" t="s">
        <v>19</v>
      </c>
    </row>
    <row r="416" spans="1:10" ht="16">
      <c r="A416" s="324" t="s">
        <v>1682</v>
      </c>
      <c r="B416" s="145" t="s">
        <v>1683</v>
      </c>
      <c r="C416" s="146" t="s">
        <v>1684</v>
      </c>
      <c r="D416" s="146" t="s">
        <v>1685</v>
      </c>
      <c r="E416" s="153">
        <v>18626934221</v>
      </c>
      <c r="F416" s="146" t="s">
        <v>1141</v>
      </c>
      <c r="G416" s="146" t="s">
        <v>1680</v>
      </c>
      <c r="H416" s="145" t="s">
        <v>1103</v>
      </c>
      <c r="I416" s="147" t="s">
        <v>1539</v>
      </c>
      <c r="J416" s="144" t="s">
        <v>19</v>
      </c>
    </row>
    <row r="417" spans="1:10" ht="16">
      <c r="A417" s="324" t="s">
        <v>1686</v>
      </c>
      <c r="B417" s="145" t="s">
        <v>1687</v>
      </c>
      <c r="C417" s="146" t="s">
        <v>1688</v>
      </c>
      <c r="D417" s="146" t="s">
        <v>1689</v>
      </c>
      <c r="E417" s="153">
        <v>15877633610</v>
      </c>
      <c r="F417" s="146" t="s">
        <v>1141</v>
      </c>
      <c r="G417" s="146" t="s">
        <v>1680</v>
      </c>
      <c r="H417" s="145" t="s">
        <v>1103</v>
      </c>
      <c r="I417" s="147" t="s">
        <v>1539</v>
      </c>
      <c r="J417" s="144"/>
    </row>
    <row r="418" spans="1:10" ht="16">
      <c r="A418" s="324" t="s">
        <v>1690</v>
      </c>
      <c r="B418" s="145" t="s">
        <v>1691</v>
      </c>
      <c r="C418" s="146" t="s">
        <v>1692</v>
      </c>
      <c r="D418" s="146" t="s">
        <v>1693</v>
      </c>
      <c r="E418" s="153">
        <v>15843026028</v>
      </c>
      <c r="F418" s="146" t="s">
        <v>1141</v>
      </c>
      <c r="G418" s="146" t="s">
        <v>1680</v>
      </c>
      <c r="H418" s="145" t="s">
        <v>1103</v>
      </c>
      <c r="I418" s="147" t="s">
        <v>1539</v>
      </c>
      <c r="J418" s="144" t="s">
        <v>19</v>
      </c>
    </row>
    <row r="419" spans="1:10" ht="16">
      <c r="A419" s="324" t="s">
        <v>1694</v>
      </c>
      <c r="B419" s="145" t="s">
        <v>1695</v>
      </c>
      <c r="C419" s="146" t="s">
        <v>1696</v>
      </c>
      <c r="D419" s="146" t="s">
        <v>1697</v>
      </c>
      <c r="E419" s="153">
        <v>17327008229</v>
      </c>
      <c r="F419" s="146" t="s">
        <v>641</v>
      </c>
      <c r="G419" s="146" t="s">
        <v>642</v>
      </c>
      <c r="H419" s="145" t="s">
        <v>1103</v>
      </c>
      <c r="I419" s="147" t="s">
        <v>1539</v>
      </c>
      <c r="J419" s="144" t="s">
        <v>19</v>
      </c>
    </row>
    <row r="420" spans="1:10" ht="16">
      <c r="A420" s="324" t="s">
        <v>1698</v>
      </c>
      <c r="B420" s="145" t="s">
        <v>1699</v>
      </c>
      <c r="C420" s="146" t="s">
        <v>1700</v>
      </c>
      <c r="D420" s="146" t="s">
        <v>1701</v>
      </c>
      <c r="E420" s="153">
        <v>13851094821</v>
      </c>
      <c r="F420" s="146" t="s">
        <v>641</v>
      </c>
      <c r="G420" s="146" t="s">
        <v>642</v>
      </c>
      <c r="H420" s="145" t="s">
        <v>1103</v>
      </c>
      <c r="I420" s="147" t="s">
        <v>1539</v>
      </c>
      <c r="J420" s="144" t="s">
        <v>19</v>
      </c>
    </row>
    <row r="421" spans="1:10" ht="16">
      <c r="A421" s="324" t="s">
        <v>1702</v>
      </c>
      <c r="B421" s="145" t="s">
        <v>1703</v>
      </c>
      <c r="C421" s="146" t="s">
        <v>1704</v>
      </c>
      <c r="D421" s="146" t="s">
        <v>1705</v>
      </c>
      <c r="E421" s="153">
        <v>18234917887</v>
      </c>
      <c r="F421" s="146" t="s">
        <v>1667</v>
      </c>
      <c r="G421" s="146" t="s">
        <v>642</v>
      </c>
      <c r="H421" s="145" t="s">
        <v>1103</v>
      </c>
      <c r="I421" s="147" t="s">
        <v>1539</v>
      </c>
      <c r="J421" s="144" t="s">
        <v>19</v>
      </c>
    </row>
    <row r="422" spans="1:10" ht="16">
      <c r="A422" s="324" t="s">
        <v>1706</v>
      </c>
      <c r="B422" s="145" t="s">
        <v>1707</v>
      </c>
      <c r="C422" s="146" t="s">
        <v>1708</v>
      </c>
      <c r="D422" s="146" t="s">
        <v>1709</v>
      </c>
      <c r="E422" s="153">
        <v>15255559476</v>
      </c>
      <c r="F422" s="146" t="s">
        <v>1667</v>
      </c>
      <c r="G422" s="146" t="s">
        <v>642</v>
      </c>
      <c r="H422" s="145" t="s">
        <v>1103</v>
      </c>
      <c r="I422" s="147" t="s">
        <v>1539</v>
      </c>
      <c r="J422" s="144" t="s">
        <v>19</v>
      </c>
    </row>
    <row r="423" spans="1:10" ht="16">
      <c r="A423" s="324" t="s">
        <v>1710</v>
      </c>
      <c r="B423" s="145" t="s">
        <v>1711</v>
      </c>
      <c r="C423" s="146" t="s">
        <v>1712</v>
      </c>
      <c r="D423" s="146" t="s">
        <v>1713</v>
      </c>
      <c r="E423" s="153">
        <v>15730305037</v>
      </c>
      <c r="F423" s="146" t="s">
        <v>1667</v>
      </c>
      <c r="G423" s="146" t="s">
        <v>642</v>
      </c>
      <c r="H423" s="145" t="s">
        <v>1103</v>
      </c>
      <c r="I423" s="147" t="s">
        <v>1539</v>
      </c>
      <c r="J423" s="144" t="s">
        <v>59</v>
      </c>
    </row>
    <row r="424" spans="1:10" ht="16">
      <c r="A424" s="324" t="s">
        <v>1714</v>
      </c>
      <c r="B424" s="145" t="s">
        <v>928</v>
      </c>
      <c r="C424" s="146" t="s">
        <v>1715</v>
      </c>
      <c r="D424" s="146" t="s">
        <v>930</v>
      </c>
      <c r="E424" s="153">
        <v>15995269138</v>
      </c>
      <c r="F424" s="146" t="s">
        <v>917</v>
      </c>
      <c r="G424" s="146" t="s">
        <v>918</v>
      </c>
      <c r="H424" s="145" t="s">
        <v>96</v>
      </c>
      <c r="I424" s="147" t="s">
        <v>1539</v>
      </c>
      <c r="J424" s="144" t="s">
        <v>19</v>
      </c>
    </row>
    <row r="425" spans="1:10" ht="16">
      <c r="A425" s="324" t="s">
        <v>1716</v>
      </c>
      <c r="B425" s="145" t="s">
        <v>1717</v>
      </c>
      <c r="C425" s="146" t="s">
        <v>1718</v>
      </c>
      <c r="D425" s="146" t="s">
        <v>1719</v>
      </c>
      <c r="E425" s="153">
        <v>15396784528</v>
      </c>
      <c r="F425" s="146" t="s">
        <v>917</v>
      </c>
      <c r="G425" s="146" t="s">
        <v>918</v>
      </c>
      <c r="H425" s="145" t="s">
        <v>96</v>
      </c>
      <c r="I425" s="147" t="s">
        <v>1539</v>
      </c>
      <c r="J425" s="144" t="s">
        <v>59</v>
      </c>
    </row>
    <row r="426" spans="1:10" ht="16">
      <c r="A426" s="324" t="s">
        <v>1720</v>
      </c>
      <c r="B426" s="145" t="s">
        <v>1721</v>
      </c>
      <c r="C426" s="146" t="s">
        <v>1722</v>
      </c>
      <c r="D426" s="146" t="s">
        <v>1723</v>
      </c>
      <c r="E426" s="153">
        <v>13915826907</v>
      </c>
      <c r="F426" s="146" t="s">
        <v>917</v>
      </c>
      <c r="G426" s="146" t="s">
        <v>918</v>
      </c>
      <c r="H426" s="145" t="s">
        <v>96</v>
      </c>
      <c r="I426" s="147" t="s">
        <v>1539</v>
      </c>
      <c r="J426" s="144" t="s">
        <v>59</v>
      </c>
    </row>
    <row r="427" spans="1:10" ht="16">
      <c r="A427" s="324" t="s">
        <v>1724</v>
      </c>
      <c r="B427" s="145" t="s">
        <v>1725</v>
      </c>
      <c r="C427" s="146" t="s">
        <v>1726</v>
      </c>
      <c r="D427" s="146" t="s">
        <v>1727</v>
      </c>
      <c r="E427" s="153">
        <v>18800560092</v>
      </c>
      <c r="F427" s="146" t="s">
        <v>917</v>
      </c>
      <c r="G427" s="146" t="s">
        <v>918</v>
      </c>
      <c r="H427" s="145" t="s">
        <v>96</v>
      </c>
      <c r="I427" s="147" t="s">
        <v>1539</v>
      </c>
      <c r="J427" s="144" t="s">
        <v>19</v>
      </c>
    </row>
    <row r="428" spans="1:10" ht="16">
      <c r="A428" s="324" t="s">
        <v>1728</v>
      </c>
      <c r="B428" s="145" t="s">
        <v>1729</v>
      </c>
      <c r="C428" s="146" t="s">
        <v>1730</v>
      </c>
      <c r="D428" s="146" t="s">
        <v>1731</v>
      </c>
      <c r="E428" s="153">
        <v>18800560121</v>
      </c>
      <c r="F428" s="146" t="s">
        <v>917</v>
      </c>
      <c r="G428" s="146" t="s">
        <v>918</v>
      </c>
      <c r="H428" s="145" t="s">
        <v>96</v>
      </c>
      <c r="I428" s="147" t="s">
        <v>1732</v>
      </c>
      <c r="J428" s="144" t="s">
        <v>19</v>
      </c>
    </row>
    <row r="431" spans="1:10">
      <c r="A431" s="181">
        <v>345</v>
      </c>
      <c r="B431" s="181" t="s">
        <v>552</v>
      </c>
      <c r="C431" s="181" t="s">
        <v>1733</v>
      </c>
      <c r="D431" s="181" t="s">
        <v>554</v>
      </c>
      <c r="E431" s="181" t="s">
        <v>1734</v>
      </c>
      <c r="F431" s="181" t="s">
        <v>533</v>
      </c>
      <c r="G431" s="181" t="s">
        <v>534</v>
      </c>
      <c r="H431" s="115" t="s">
        <v>1735</v>
      </c>
      <c r="I431" s="275" t="s">
        <v>1736</v>
      </c>
      <c r="J431" s="181" t="s">
        <v>1105</v>
      </c>
    </row>
    <row r="432" spans="1:10">
      <c r="A432" s="181">
        <v>346</v>
      </c>
      <c r="B432" s="181" t="s">
        <v>540</v>
      </c>
      <c r="C432" s="181" t="s">
        <v>1737</v>
      </c>
      <c r="D432" s="181" t="s">
        <v>542</v>
      </c>
      <c r="E432" s="181" t="s">
        <v>1738</v>
      </c>
      <c r="F432" s="181" t="s">
        <v>533</v>
      </c>
      <c r="G432" s="181" t="s">
        <v>534</v>
      </c>
      <c r="H432" s="115" t="s">
        <v>1735</v>
      </c>
      <c r="I432" s="275" t="s">
        <v>1736</v>
      </c>
      <c r="J432" s="181" t="s">
        <v>1105</v>
      </c>
    </row>
    <row r="433" spans="1:10">
      <c r="A433" s="181">
        <v>347</v>
      </c>
      <c r="B433" s="181" t="s">
        <v>548</v>
      </c>
      <c r="C433" s="181" t="s">
        <v>1739</v>
      </c>
      <c r="D433" s="181" t="s">
        <v>550</v>
      </c>
      <c r="E433" s="181" t="s">
        <v>1740</v>
      </c>
      <c r="F433" s="181" t="s">
        <v>533</v>
      </c>
      <c r="G433" s="181" t="s">
        <v>534</v>
      </c>
      <c r="H433" s="115" t="s">
        <v>1735</v>
      </c>
      <c r="I433" s="275" t="s">
        <v>1736</v>
      </c>
      <c r="J433" s="181" t="s">
        <v>1105</v>
      </c>
    </row>
    <row r="434" spans="1:10">
      <c r="A434" s="181">
        <v>348</v>
      </c>
      <c r="B434" s="181" t="s">
        <v>530</v>
      </c>
      <c r="C434" s="181" t="s">
        <v>1741</v>
      </c>
      <c r="D434" s="181" t="s">
        <v>1742</v>
      </c>
      <c r="E434" s="181" t="s">
        <v>1743</v>
      </c>
      <c r="F434" s="181" t="s">
        <v>533</v>
      </c>
      <c r="G434" s="181" t="s">
        <v>534</v>
      </c>
      <c r="H434" s="115" t="s">
        <v>1735</v>
      </c>
      <c r="I434" s="275" t="s">
        <v>1736</v>
      </c>
      <c r="J434" s="181" t="s">
        <v>1105</v>
      </c>
    </row>
    <row r="435" spans="1:10">
      <c r="A435" s="181">
        <v>349</v>
      </c>
      <c r="B435" s="181" t="s">
        <v>544</v>
      </c>
      <c r="C435" s="181" t="s">
        <v>1744</v>
      </c>
      <c r="D435" s="181" t="s">
        <v>546</v>
      </c>
      <c r="E435" s="181" t="s">
        <v>1745</v>
      </c>
      <c r="F435" s="181" t="s">
        <v>533</v>
      </c>
      <c r="G435" s="181" t="s">
        <v>534</v>
      </c>
      <c r="H435" s="115" t="s">
        <v>1735</v>
      </c>
      <c r="I435" s="275" t="s">
        <v>1736</v>
      </c>
      <c r="J435" s="181" t="s">
        <v>1105</v>
      </c>
    </row>
    <row r="436" spans="1:10">
      <c r="A436" s="181">
        <v>350</v>
      </c>
      <c r="B436" s="181" t="s">
        <v>1746</v>
      </c>
      <c r="C436" s="181" t="s">
        <v>1747</v>
      </c>
      <c r="D436" s="181" t="s">
        <v>1748</v>
      </c>
      <c r="E436" s="181" t="s">
        <v>1749</v>
      </c>
      <c r="F436" s="181" t="s">
        <v>533</v>
      </c>
      <c r="G436" s="181" t="s">
        <v>534</v>
      </c>
      <c r="H436" s="115" t="s">
        <v>1735</v>
      </c>
      <c r="I436" s="275" t="s">
        <v>1736</v>
      </c>
      <c r="J436" s="181" t="s">
        <v>1105</v>
      </c>
    </row>
    <row r="437" spans="1:10">
      <c r="A437" s="181">
        <v>351</v>
      </c>
      <c r="B437" s="181" t="s">
        <v>1750</v>
      </c>
      <c r="C437" s="181" t="s">
        <v>1751</v>
      </c>
      <c r="D437" s="181" t="s">
        <v>1752</v>
      </c>
      <c r="E437" s="181" t="s">
        <v>1753</v>
      </c>
      <c r="F437" s="181" t="s">
        <v>1754</v>
      </c>
      <c r="G437" s="181" t="s">
        <v>1755</v>
      </c>
      <c r="H437" s="115" t="s">
        <v>1735</v>
      </c>
      <c r="I437" s="275" t="s">
        <v>1736</v>
      </c>
      <c r="J437" s="181" t="s">
        <v>1157</v>
      </c>
    </row>
    <row r="438" spans="1:10">
      <c r="A438" s="181">
        <v>352</v>
      </c>
      <c r="B438" s="181" t="s">
        <v>1756</v>
      </c>
      <c r="C438" s="181" t="s">
        <v>1757</v>
      </c>
      <c r="D438" s="181" t="s">
        <v>1758</v>
      </c>
      <c r="E438" s="181" t="s">
        <v>1759</v>
      </c>
      <c r="F438" s="181" t="s">
        <v>1754</v>
      </c>
      <c r="G438" s="181" t="s">
        <v>1755</v>
      </c>
      <c r="H438" s="115" t="s">
        <v>1735</v>
      </c>
      <c r="I438" s="275" t="s">
        <v>1736</v>
      </c>
      <c r="J438" s="181" t="s">
        <v>1157</v>
      </c>
    </row>
    <row r="439" spans="1:10">
      <c r="A439" s="181">
        <v>353</v>
      </c>
      <c r="B439" s="181" t="s">
        <v>1760</v>
      </c>
      <c r="C439" s="181" t="s">
        <v>1761</v>
      </c>
      <c r="D439" s="181" t="s">
        <v>1762</v>
      </c>
      <c r="E439" s="181" t="s">
        <v>1763</v>
      </c>
      <c r="F439" s="181" t="s">
        <v>1764</v>
      </c>
      <c r="G439" s="181" t="s">
        <v>1765</v>
      </c>
      <c r="H439" s="115" t="s">
        <v>1735</v>
      </c>
      <c r="I439" s="275" t="s">
        <v>1736</v>
      </c>
      <c r="J439" s="181" t="s">
        <v>1105</v>
      </c>
    </row>
    <row r="440" spans="1:10">
      <c r="A440" s="181">
        <v>354</v>
      </c>
      <c r="B440" s="181" t="s">
        <v>1766</v>
      </c>
      <c r="C440" s="181" t="s">
        <v>1767</v>
      </c>
      <c r="D440" s="181" t="s">
        <v>1768</v>
      </c>
      <c r="E440" s="181" t="s">
        <v>1769</v>
      </c>
      <c r="F440" s="181" t="s">
        <v>1764</v>
      </c>
      <c r="G440" s="181" t="s">
        <v>1765</v>
      </c>
      <c r="H440" s="115" t="s">
        <v>1735</v>
      </c>
      <c r="I440" s="275" t="s">
        <v>1736</v>
      </c>
      <c r="J440" s="181" t="s">
        <v>1105</v>
      </c>
    </row>
    <row r="441" spans="1:10">
      <c r="A441" s="181">
        <v>355</v>
      </c>
      <c r="B441" s="181" t="s">
        <v>1770</v>
      </c>
      <c r="C441" s="181" t="s">
        <v>1771</v>
      </c>
      <c r="D441" s="181" t="s">
        <v>1772</v>
      </c>
      <c r="E441" s="181" t="s">
        <v>1773</v>
      </c>
      <c r="F441" s="181" t="s">
        <v>1764</v>
      </c>
      <c r="G441" s="181" t="s">
        <v>1765</v>
      </c>
      <c r="H441" s="115" t="s">
        <v>1735</v>
      </c>
      <c r="I441" s="275" t="s">
        <v>1736</v>
      </c>
      <c r="J441" s="181" t="s">
        <v>1105</v>
      </c>
    </row>
    <row r="442" spans="1:10">
      <c r="A442" s="181">
        <v>356</v>
      </c>
      <c r="B442" s="181" t="s">
        <v>1774</v>
      </c>
      <c r="C442" s="181" t="s">
        <v>1775</v>
      </c>
      <c r="D442" s="181" t="s">
        <v>1776</v>
      </c>
      <c r="E442" s="181" t="s">
        <v>1777</v>
      </c>
      <c r="F442" s="181" t="s">
        <v>1764</v>
      </c>
      <c r="G442" s="181" t="s">
        <v>1765</v>
      </c>
      <c r="H442" s="115" t="s">
        <v>1735</v>
      </c>
      <c r="I442" s="275" t="s">
        <v>1736</v>
      </c>
      <c r="J442" s="181" t="s">
        <v>1105</v>
      </c>
    </row>
    <row r="443" spans="1:10">
      <c r="A443" s="181">
        <v>357</v>
      </c>
      <c r="B443" s="181" t="s">
        <v>1778</v>
      </c>
      <c r="C443" s="181" t="s">
        <v>1779</v>
      </c>
      <c r="D443" s="181" t="s">
        <v>1780</v>
      </c>
      <c r="E443" s="181" t="s">
        <v>1781</v>
      </c>
      <c r="F443" s="181" t="s">
        <v>1764</v>
      </c>
      <c r="G443" s="181" t="s">
        <v>1765</v>
      </c>
      <c r="H443" s="115" t="s">
        <v>1735</v>
      </c>
      <c r="I443" s="275" t="s">
        <v>1736</v>
      </c>
      <c r="J443" s="181" t="s">
        <v>1157</v>
      </c>
    </row>
    <row r="444" spans="1:10">
      <c r="A444" s="181">
        <v>358</v>
      </c>
      <c r="B444" s="181" t="s">
        <v>1782</v>
      </c>
      <c r="C444" s="181" t="s">
        <v>1783</v>
      </c>
      <c r="D444" s="181" t="s">
        <v>1784</v>
      </c>
      <c r="E444" s="181" t="s">
        <v>1785</v>
      </c>
      <c r="F444" s="181" t="s">
        <v>1764</v>
      </c>
      <c r="G444" s="181" t="s">
        <v>1765</v>
      </c>
      <c r="H444" s="115" t="s">
        <v>1735</v>
      </c>
      <c r="I444" s="275" t="s">
        <v>1736</v>
      </c>
      <c r="J444" s="181" t="s">
        <v>1105</v>
      </c>
    </row>
    <row r="445" spans="1:10">
      <c r="A445" s="181">
        <v>359</v>
      </c>
      <c r="B445" s="181" t="s">
        <v>1786</v>
      </c>
      <c r="C445" s="181" t="s">
        <v>1787</v>
      </c>
      <c r="D445" s="181" t="s">
        <v>1788</v>
      </c>
      <c r="E445" s="181" t="s">
        <v>1789</v>
      </c>
      <c r="F445" s="181" t="s">
        <v>57</v>
      </c>
      <c r="G445" s="181" t="s">
        <v>485</v>
      </c>
      <c r="H445" s="115" t="s">
        <v>1735</v>
      </c>
      <c r="I445" s="275" t="s">
        <v>1790</v>
      </c>
      <c r="J445" s="181" t="s">
        <v>1105</v>
      </c>
    </row>
    <row r="446" spans="1:10">
      <c r="A446" s="181">
        <v>360</v>
      </c>
      <c r="B446" s="181" t="s">
        <v>1791</v>
      </c>
      <c r="C446" s="181" t="s">
        <v>1792</v>
      </c>
      <c r="D446" s="181" t="s">
        <v>1793</v>
      </c>
      <c r="E446" s="181" t="s">
        <v>1794</v>
      </c>
      <c r="F446" s="181" t="s">
        <v>57</v>
      </c>
      <c r="G446" s="181" t="s">
        <v>485</v>
      </c>
      <c r="H446" s="115" t="s">
        <v>1735</v>
      </c>
      <c r="I446" s="275" t="s">
        <v>1790</v>
      </c>
      <c r="J446" s="181" t="s">
        <v>1105</v>
      </c>
    </row>
    <row r="447" spans="1:10">
      <c r="A447" s="181">
        <v>361</v>
      </c>
      <c r="B447" s="181" t="s">
        <v>1795</v>
      </c>
      <c r="C447" s="181" t="s">
        <v>1796</v>
      </c>
      <c r="D447" s="181" t="s">
        <v>1797</v>
      </c>
      <c r="E447" s="181" t="s">
        <v>1798</v>
      </c>
      <c r="F447" s="181" t="s">
        <v>57</v>
      </c>
      <c r="G447" s="181" t="s">
        <v>485</v>
      </c>
      <c r="H447" s="115" t="s">
        <v>1735</v>
      </c>
      <c r="I447" s="275" t="s">
        <v>1790</v>
      </c>
      <c r="J447" s="181" t="s">
        <v>1105</v>
      </c>
    </row>
    <row r="448" spans="1:10">
      <c r="A448" s="181">
        <v>362</v>
      </c>
      <c r="B448" s="181" t="s">
        <v>1799</v>
      </c>
      <c r="C448" s="181" t="s">
        <v>1800</v>
      </c>
      <c r="D448" s="181" t="s">
        <v>1801</v>
      </c>
      <c r="E448" s="181" t="s">
        <v>1802</v>
      </c>
      <c r="F448" s="181" t="s">
        <v>57</v>
      </c>
      <c r="G448" s="181" t="s">
        <v>485</v>
      </c>
      <c r="H448" s="115" t="s">
        <v>1735</v>
      </c>
      <c r="I448" s="275" t="s">
        <v>1790</v>
      </c>
      <c r="J448" s="181" t="s">
        <v>1105</v>
      </c>
    </row>
    <row r="449" spans="1:11">
      <c r="A449" s="181">
        <v>363</v>
      </c>
      <c r="B449" s="181" t="s">
        <v>1382</v>
      </c>
      <c r="C449" s="181" t="s">
        <v>1803</v>
      </c>
      <c r="D449" s="181" t="s">
        <v>1384</v>
      </c>
      <c r="E449" s="181" t="s">
        <v>1804</v>
      </c>
      <c r="F449" s="181" t="s">
        <v>57</v>
      </c>
      <c r="G449" s="181" t="s">
        <v>485</v>
      </c>
      <c r="H449" s="115" t="s">
        <v>1735</v>
      </c>
      <c r="I449" s="275" t="s">
        <v>1790</v>
      </c>
      <c r="J449" s="181" t="s">
        <v>1105</v>
      </c>
      <c r="K449" s="181"/>
    </row>
    <row r="450" spans="1:11">
      <c r="A450" s="181">
        <v>364</v>
      </c>
      <c r="B450" s="181" t="s">
        <v>1805</v>
      </c>
      <c r="C450" s="181" t="s">
        <v>1806</v>
      </c>
      <c r="D450" s="181" t="s">
        <v>1807</v>
      </c>
      <c r="E450" s="181" t="s">
        <v>1808</v>
      </c>
      <c r="F450" s="181" t="s">
        <v>57</v>
      </c>
      <c r="G450" s="181" t="s">
        <v>485</v>
      </c>
      <c r="H450" s="115" t="s">
        <v>1735</v>
      </c>
      <c r="I450" s="275" t="s">
        <v>1790</v>
      </c>
      <c r="J450" s="181" t="s">
        <v>1105</v>
      </c>
      <c r="K450" s="181"/>
    </row>
    <row r="451" spans="1:11">
      <c r="A451" s="181">
        <v>365</v>
      </c>
      <c r="B451" s="181" t="s">
        <v>1365</v>
      </c>
      <c r="C451" s="181" t="s">
        <v>1809</v>
      </c>
      <c r="D451" s="181" t="s">
        <v>1367</v>
      </c>
      <c r="E451" s="181" t="s">
        <v>1810</v>
      </c>
      <c r="F451" s="181" t="s">
        <v>57</v>
      </c>
      <c r="G451" s="181" t="s">
        <v>485</v>
      </c>
      <c r="H451" s="115" t="s">
        <v>1735</v>
      </c>
      <c r="I451" s="275" t="s">
        <v>1790</v>
      </c>
      <c r="J451" s="181" t="s">
        <v>1105</v>
      </c>
      <c r="K451" s="181"/>
    </row>
    <row r="452" spans="1:11">
      <c r="A452" s="181">
        <v>366</v>
      </c>
      <c r="B452" s="181" t="s">
        <v>1811</v>
      </c>
      <c r="C452" s="181" t="s">
        <v>1812</v>
      </c>
      <c r="D452" s="181" t="s">
        <v>1813</v>
      </c>
      <c r="E452" s="181" t="s">
        <v>1814</v>
      </c>
      <c r="F452" s="181" t="s">
        <v>57</v>
      </c>
      <c r="G452" s="181" t="s">
        <v>485</v>
      </c>
      <c r="H452" s="115" t="s">
        <v>1735</v>
      </c>
      <c r="I452" s="275" t="s">
        <v>1790</v>
      </c>
      <c r="J452" s="181" t="s">
        <v>1105</v>
      </c>
      <c r="K452" s="181"/>
    </row>
    <row r="453" spans="1:11">
      <c r="A453" s="181">
        <v>367</v>
      </c>
      <c r="B453" s="181" t="s">
        <v>1815</v>
      </c>
      <c r="C453" s="181" t="s">
        <v>1816</v>
      </c>
      <c r="D453" s="181" t="s">
        <v>1817</v>
      </c>
      <c r="E453" s="181" t="s">
        <v>1818</v>
      </c>
      <c r="F453" s="181" t="s">
        <v>1819</v>
      </c>
      <c r="G453" s="181" t="s">
        <v>1820</v>
      </c>
      <c r="H453" s="115" t="s">
        <v>1735</v>
      </c>
      <c r="I453" s="275" t="s">
        <v>1790</v>
      </c>
      <c r="J453" s="181" t="s">
        <v>1105</v>
      </c>
      <c r="K453" s="181"/>
    </row>
    <row r="454" spans="1:11">
      <c r="A454" s="181">
        <v>368</v>
      </c>
      <c r="B454" s="181" t="s">
        <v>1821</v>
      </c>
      <c r="C454" s="181" t="s">
        <v>1822</v>
      </c>
      <c r="D454" s="181" t="s">
        <v>1823</v>
      </c>
      <c r="E454" s="181" t="s">
        <v>1824</v>
      </c>
      <c r="F454" s="181" t="s">
        <v>1819</v>
      </c>
      <c r="G454" s="181" t="s">
        <v>1820</v>
      </c>
      <c r="H454" s="115" t="s">
        <v>1735</v>
      </c>
      <c r="I454" s="275" t="s">
        <v>1790</v>
      </c>
      <c r="J454" s="181" t="s">
        <v>1157</v>
      </c>
      <c r="K454" s="181" t="s">
        <v>1825</v>
      </c>
    </row>
    <row r="455" spans="1:11">
      <c r="A455" s="181">
        <v>369</v>
      </c>
      <c r="B455" s="181" t="s">
        <v>1826</v>
      </c>
      <c r="C455" s="181" t="s">
        <v>1827</v>
      </c>
      <c r="D455" s="181" t="s">
        <v>1828</v>
      </c>
      <c r="E455" s="181" t="s">
        <v>1829</v>
      </c>
      <c r="F455" s="181" t="s">
        <v>1819</v>
      </c>
      <c r="G455" s="181" t="s">
        <v>1820</v>
      </c>
      <c r="H455" s="115" t="s">
        <v>1735</v>
      </c>
      <c r="I455" s="275" t="s">
        <v>1790</v>
      </c>
      <c r="J455" s="181" t="s">
        <v>1105</v>
      </c>
      <c r="K455" s="181"/>
    </row>
    <row r="456" spans="1:11">
      <c r="A456" s="181">
        <v>370</v>
      </c>
      <c r="B456" s="181" t="s">
        <v>1830</v>
      </c>
      <c r="C456" s="181" t="s">
        <v>1831</v>
      </c>
      <c r="D456" s="181" t="s">
        <v>1832</v>
      </c>
      <c r="E456" s="181" t="s">
        <v>1833</v>
      </c>
      <c r="F456" s="181" t="s">
        <v>775</v>
      </c>
      <c r="G456" s="181" t="s">
        <v>1834</v>
      </c>
      <c r="H456" s="115" t="s">
        <v>1835</v>
      </c>
      <c r="I456" s="275" t="s">
        <v>1790</v>
      </c>
      <c r="J456" s="181" t="s">
        <v>1157</v>
      </c>
      <c r="K456" s="181"/>
    </row>
    <row r="457" spans="1:11">
      <c r="A457" s="181">
        <v>371</v>
      </c>
      <c r="B457" s="181" t="s">
        <v>1836</v>
      </c>
      <c r="C457" s="181" t="s">
        <v>1837</v>
      </c>
      <c r="D457" s="181" t="s">
        <v>1838</v>
      </c>
      <c r="E457" s="181" t="s">
        <v>1839</v>
      </c>
      <c r="F457" s="181" t="s">
        <v>775</v>
      </c>
      <c r="G457" s="181" t="s">
        <v>1834</v>
      </c>
      <c r="H457" s="115" t="s">
        <v>1835</v>
      </c>
      <c r="I457" s="275" t="s">
        <v>1790</v>
      </c>
      <c r="J457" s="181" t="s">
        <v>1157</v>
      </c>
      <c r="K457" s="181"/>
    </row>
    <row r="459" spans="1:11">
      <c r="A459" s="181">
        <v>372</v>
      </c>
      <c r="B459" s="113" t="s">
        <v>1840</v>
      </c>
      <c r="C459" s="113" t="s">
        <v>1841</v>
      </c>
      <c r="D459" s="113" t="s">
        <v>1842</v>
      </c>
      <c r="E459" s="113" t="s">
        <v>1843</v>
      </c>
      <c r="F459" s="113" t="s">
        <v>533</v>
      </c>
      <c r="G459" s="113" t="s">
        <v>534</v>
      </c>
      <c r="H459" s="193" t="s">
        <v>1844</v>
      </c>
      <c r="I459" s="275" t="s">
        <v>1845</v>
      </c>
      <c r="J459" s="181" t="s">
        <v>1157</v>
      </c>
      <c r="K459" s="181"/>
    </row>
    <row r="460" spans="1:11">
      <c r="A460" s="181">
        <v>373</v>
      </c>
      <c r="B460" s="181" t="s">
        <v>1846</v>
      </c>
      <c r="C460" s="181" t="s">
        <v>1847</v>
      </c>
      <c r="D460" s="181" t="s">
        <v>1848</v>
      </c>
      <c r="E460" s="181" t="s">
        <v>1849</v>
      </c>
      <c r="F460" s="181" t="s">
        <v>533</v>
      </c>
      <c r="G460" s="181" t="s">
        <v>534</v>
      </c>
      <c r="H460" s="115" t="s">
        <v>1844</v>
      </c>
      <c r="I460" s="275" t="s">
        <v>1845</v>
      </c>
      <c r="J460" s="181" t="s">
        <v>1157</v>
      </c>
      <c r="K460" s="181"/>
    </row>
    <row r="461" spans="1:11">
      <c r="A461" s="181">
        <v>374</v>
      </c>
      <c r="B461" s="181" t="s">
        <v>1850</v>
      </c>
      <c r="C461" s="181" t="s">
        <v>1851</v>
      </c>
      <c r="D461" s="181" t="s">
        <v>524</v>
      </c>
      <c r="E461" s="181" t="s">
        <v>1852</v>
      </c>
      <c r="F461" s="181" t="s">
        <v>533</v>
      </c>
      <c r="G461" s="181" t="s">
        <v>534</v>
      </c>
      <c r="H461" s="115" t="s">
        <v>1844</v>
      </c>
      <c r="I461" s="275" t="s">
        <v>1845</v>
      </c>
      <c r="J461" s="181" t="s">
        <v>1157</v>
      </c>
      <c r="K461" s="181"/>
    </row>
    <row r="462" spans="1:11">
      <c r="A462" s="181">
        <v>375</v>
      </c>
      <c r="B462" s="181" t="s">
        <v>1853</v>
      </c>
      <c r="C462" s="181" t="s">
        <v>1854</v>
      </c>
      <c r="D462" s="181" t="s">
        <v>1855</v>
      </c>
      <c r="E462" s="181" t="s">
        <v>1856</v>
      </c>
      <c r="F462" s="181" t="s">
        <v>533</v>
      </c>
      <c r="G462" s="181" t="s">
        <v>534</v>
      </c>
      <c r="H462" s="115" t="s">
        <v>1844</v>
      </c>
      <c r="I462" s="275" t="s">
        <v>1845</v>
      </c>
      <c r="J462" s="181" t="s">
        <v>1105</v>
      </c>
      <c r="K462" s="181"/>
    </row>
    <row r="463" spans="1:11">
      <c r="A463" s="181">
        <v>376</v>
      </c>
      <c r="B463" s="181" t="s">
        <v>1857</v>
      </c>
      <c r="C463" s="181" t="s">
        <v>1858</v>
      </c>
      <c r="D463" s="181" t="s">
        <v>1859</v>
      </c>
      <c r="E463" s="181" t="s">
        <v>1860</v>
      </c>
      <c r="F463" s="181" t="s">
        <v>1764</v>
      </c>
      <c r="G463" s="181" t="s">
        <v>1765</v>
      </c>
      <c r="H463" s="115" t="s">
        <v>1844</v>
      </c>
      <c r="I463" s="275" t="s">
        <v>1845</v>
      </c>
      <c r="J463" s="181" t="s">
        <v>1105</v>
      </c>
      <c r="K463" s="181"/>
    </row>
    <row r="464" spans="1:11">
      <c r="A464" s="181">
        <v>377</v>
      </c>
      <c r="B464" s="181" t="s">
        <v>1861</v>
      </c>
      <c r="C464" s="181" t="s">
        <v>1862</v>
      </c>
      <c r="D464" s="181" t="s">
        <v>1863</v>
      </c>
      <c r="E464" s="181" t="s">
        <v>1864</v>
      </c>
      <c r="F464" s="181" t="s">
        <v>1764</v>
      </c>
      <c r="G464" s="181" t="s">
        <v>1765</v>
      </c>
      <c r="H464" s="115" t="s">
        <v>1844</v>
      </c>
      <c r="I464" s="275" t="s">
        <v>1845</v>
      </c>
      <c r="J464" s="181" t="s">
        <v>1105</v>
      </c>
      <c r="K464" s="181"/>
    </row>
    <row r="465" spans="1:10">
      <c r="A465" s="181">
        <v>378</v>
      </c>
      <c r="B465" s="181" t="s">
        <v>1865</v>
      </c>
      <c r="C465" s="181" t="s">
        <v>1866</v>
      </c>
      <c r="D465" s="181" t="s">
        <v>1867</v>
      </c>
      <c r="E465" s="181" t="s">
        <v>1868</v>
      </c>
      <c r="F465" s="181" t="s">
        <v>1764</v>
      </c>
      <c r="G465" s="181" t="s">
        <v>1765</v>
      </c>
      <c r="H465" s="115" t="s">
        <v>1844</v>
      </c>
      <c r="I465" s="275" t="s">
        <v>1845</v>
      </c>
      <c r="J465" s="181" t="s">
        <v>1157</v>
      </c>
    </row>
    <row r="466" spans="1:10">
      <c r="A466" s="181">
        <v>379</v>
      </c>
      <c r="B466" s="181" t="s">
        <v>1869</v>
      </c>
      <c r="C466" s="181" t="s">
        <v>1870</v>
      </c>
      <c r="D466" s="181" t="s">
        <v>1871</v>
      </c>
      <c r="E466" s="181" t="s">
        <v>1872</v>
      </c>
      <c r="F466" s="181" t="s">
        <v>1764</v>
      </c>
      <c r="G466" s="181" t="s">
        <v>1765</v>
      </c>
      <c r="H466" s="115" t="s">
        <v>1844</v>
      </c>
      <c r="I466" s="275" t="s">
        <v>1845</v>
      </c>
      <c r="J466" s="181" t="s">
        <v>1105</v>
      </c>
    </row>
    <row r="467" spans="1:10">
      <c r="A467" s="181">
        <v>380</v>
      </c>
      <c r="B467" s="181" t="s">
        <v>1873</v>
      </c>
      <c r="C467" s="181" t="s">
        <v>1874</v>
      </c>
      <c r="D467" s="181" t="s">
        <v>1875</v>
      </c>
      <c r="E467" s="181" t="s">
        <v>1876</v>
      </c>
      <c r="F467" s="181" t="s">
        <v>1764</v>
      </c>
      <c r="G467" s="181" t="s">
        <v>1765</v>
      </c>
      <c r="H467" s="115" t="s">
        <v>1844</v>
      </c>
      <c r="I467" s="275" t="s">
        <v>1845</v>
      </c>
      <c r="J467" s="181" t="s">
        <v>1105</v>
      </c>
    </row>
    <row r="468" spans="1:10">
      <c r="A468" s="181">
        <v>381</v>
      </c>
      <c r="B468" s="181" t="s">
        <v>1332</v>
      </c>
      <c r="C468" s="181" t="s">
        <v>1877</v>
      </c>
      <c r="D468" s="181" t="s">
        <v>1587</v>
      </c>
      <c r="E468" s="181" t="s">
        <v>1878</v>
      </c>
      <c r="F468" s="181" t="s">
        <v>57</v>
      </c>
      <c r="G468" s="181" t="s">
        <v>485</v>
      </c>
      <c r="H468" s="115" t="s">
        <v>1844</v>
      </c>
      <c r="I468" s="275" t="s">
        <v>1845</v>
      </c>
      <c r="J468" s="181" t="s">
        <v>1105</v>
      </c>
    </row>
    <row r="469" spans="1:10">
      <c r="A469" s="181">
        <v>382</v>
      </c>
      <c r="B469" s="181" t="s">
        <v>1879</v>
      </c>
      <c r="C469" s="181" t="s">
        <v>1880</v>
      </c>
      <c r="D469" s="181" t="s">
        <v>1881</v>
      </c>
      <c r="E469" s="181" t="s">
        <v>1882</v>
      </c>
      <c r="F469" s="181" t="s">
        <v>57</v>
      </c>
      <c r="G469" s="181" t="s">
        <v>485</v>
      </c>
      <c r="H469" s="115" t="s">
        <v>1844</v>
      </c>
      <c r="I469" s="275" t="s">
        <v>1845</v>
      </c>
      <c r="J469" s="181" t="s">
        <v>1105</v>
      </c>
    </row>
    <row r="470" spans="1:10">
      <c r="A470" s="181">
        <v>383</v>
      </c>
      <c r="B470" s="181" t="s">
        <v>1883</v>
      </c>
      <c r="C470" s="181" t="s">
        <v>1884</v>
      </c>
      <c r="D470" s="181" t="s">
        <v>1885</v>
      </c>
      <c r="E470" s="181" t="s">
        <v>1886</v>
      </c>
      <c r="F470" s="181" t="s">
        <v>57</v>
      </c>
      <c r="G470" s="181" t="s">
        <v>485</v>
      </c>
      <c r="H470" s="115" t="s">
        <v>1844</v>
      </c>
      <c r="I470" s="275" t="s">
        <v>1845</v>
      </c>
      <c r="J470" s="181" t="s">
        <v>1105</v>
      </c>
    </row>
    <row r="471" spans="1:10">
      <c r="A471" s="181">
        <v>384</v>
      </c>
      <c r="B471" s="181" t="s">
        <v>1887</v>
      </c>
      <c r="C471" s="181" t="s">
        <v>1888</v>
      </c>
      <c r="D471" s="181" t="s">
        <v>1889</v>
      </c>
      <c r="E471" s="181" t="s">
        <v>1890</v>
      </c>
      <c r="F471" s="181" t="s">
        <v>57</v>
      </c>
      <c r="G471" s="181" t="s">
        <v>485</v>
      </c>
      <c r="H471" s="115" t="s">
        <v>1844</v>
      </c>
      <c r="I471" s="275" t="s">
        <v>1845</v>
      </c>
      <c r="J471" s="181" t="s">
        <v>1105</v>
      </c>
    </row>
    <row r="472" spans="1:10">
      <c r="A472" s="181">
        <v>385</v>
      </c>
      <c r="B472" s="181" t="s">
        <v>1891</v>
      </c>
      <c r="C472" s="181" t="s">
        <v>1892</v>
      </c>
      <c r="D472" s="181" t="s">
        <v>1893</v>
      </c>
      <c r="E472" s="181" t="s">
        <v>1894</v>
      </c>
      <c r="F472" s="181" t="s">
        <v>57</v>
      </c>
      <c r="G472" s="181" t="s">
        <v>485</v>
      </c>
      <c r="H472" s="115" t="s">
        <v>1844</v>
      </c>
      <c r="I472" s="275" t="s">
        <v>1895</v>
      </c>
      <c r="J472" s="181" t="s">
        <v>1105</v>
      </c>
    </row>
    <row r="473" spans="1:10">
      <c r="A473" s="181">
        <v>386</v>
      </c>
      <c r="B473" s="181" t="s">
        <v>1896</v>
      </c>
      <c r="C473" s="181" t="s">
        <v>1897</v>
      </c>
      <c r="D473" s="181" t="s">
        <v>1898</v>
      </c>
      <c r="E473" s="181" t="s">
        <v>1899</v>
      </c>
      <c r="F473" s="181" t="s">
        <v>57</v>
      </c>
      <c r="G473" s="181" t="s">
        <v>485</v>
      </c>
      <c r="H473" s="115" t="s">
        <v>1844</v>
      </c>
      <c r="I473" s="275" t="s">
        <v>1895</v>
      </c>
      <c r="J473" s="181" t="s">
        <v>1105</v>
      </c>
    </row>
    <row r="474" spans="1:10">
      <c r="A474" s="181">
        <v>387</v>
      </c>
      <c r="B474" s="181" t="s">
        <v>1900</v>
      </c>
      <c r="C474" s="181" t="s">
        <v>1901</v>
      </c>
      <c r="D474" s="181" t="s">
        <v>1902</v>
      </c>
      <c r="E474" s="181" t="s">
        <v>1903</v>
      </c>
      <c r="F474" s="181" t="s">
        <v>57</v>
      </c>
      <c r="G474" s="181" t="s">
        <v>485</v>
      </c>
      <c r="H474" s="115" t="s">
        <v>1844</v>
      </c>
      <c r="I474" s="275" t="s">
        <v>1895</v>
      </c>
      <c r="J474" s="181" t="s">
        <v>1105</v>
      </c>
    </row>
    <row r="475" spans="1:10">
      <c r="A475" s="181">
        <v>388</v>
      </c>
      <c r="B475" s="181" t="s">
        <v>1904</v>
      </c>
      <c r="C475" s="181" t="s">
        <v>1905</v>
      </c>
      <c r="D475" s="181" t="s">
        <v>1906</v>
      </c>
      <c r="E475" s="181" t="s">
        <v>1907</v>
      </c>
      <c r="F475" s="181" t="s">
        <v>57</v>
      </c>
      <c r="G475" s="181" t="s">
        <v>485</v>
      </c>
      <c r="H475" s="115" t="s">
        <v>1844</v>
      </c>
      <c r="I475" s="275" t="s">
        <v>1895</v>
      </c>
      <c r="J475" s="181" t="s">
        <v>1105</v>
      </c>
    </row>
    <row r="476" spans="1:10">
      <c r="A476" s="181">
        <v>389</v>
      </c>
      <c r="B476" s="181" t="s">
        <v>1908</v>
      </c>
      <c r="C476" s="181" t="s">
        <v>1909</v>
      </c>
      <c r="D476" s="181" t="s">
        <v>1910</v>
      </c>
      <c r="E476" s="181" t="s">
        <v>1911</v>
      </c>
      <c r="F476" s="181" t="s">
        <v>57</v>
      </c>
      <c r="G476" s="181" t="s">
        <v>485</v>
      </c>
      <c r="H476" s="115" t="s">
        <v>1844</v>
      </c>
      <c r="I476" s="275" t="s">
        <v>1895</v>
      </c>
      <c r="J476" s="181" t="s">
        <v>1105</v>
      </c>
    </row>
    <row r="477" spans="1:10">
      <c r="A477" s="181">
        <v>390</v>
      </c>
      <c r="B477" s="181" t="s">
        <v>1912</v>
      </c>
      <c r="C477" s="181" t="s">
        <v>1913</v>
      </c>
      <c r="D477" s="181" t="s">
        <v>1914</v>
      </c>
      <c r="E477" s="181" t="s">
        <v>1915</v>
      </c>
      <c r="F477" s="181" t="s">
        <v>57</v>
      </c>
      <c r="G477" s="181" t="s">
        <v>485</v>
      </c>
      <c r="H477" s="115" t="s">
        <v>1844</v>
      </c>
      <c r="I477" s="275" t="s">
        <v>1895</v>
      </c>
      <c r="J477" s="181" t="s">
        <v>1105</v>
      </c>
    </row>
    <row r="478" spans="1:10">
      <c r="A478" s="181">
        <v>391</v>
      </c>
      <c r="B478" s="181" t="s">
        <v>1916</v>
      </c>
      <c r="C478" s="181" t="s">
        <v>1917</v>
      </c>
      <c r="D478" s="181" t="s">
        <v>1918</v>
      </c>
      <c r="E478" s="181" t="s">
        <v>1919</v>
      </c>
      <c r="F478" s="181" t="s">
        <v>57</v>
      </c>
      <c r="G478" s="181" t="s">
        <v>485</v>
      </c>
      <c r="H478" s="115" t="s">
        <v>1844</v>
      </c>
      <c r="I478" s="275" t="s">
        <v>1895</v>
      </c>
      <c r="J478" s="181" t="s">
        <v>1105</v>
      </c>
    </row>
    <row r="479" spans="1:10">
      <c r="A479" s="181">
        <v>392</v>
      </c>
      <c r="B479" s="181" t="s">
        <v>1920</v>
      </c>
      <c r="C479" s="181" t="s">
        <v>1921</v>
      </c>
      <c r="D479" s="181" t="s">
        <v>1922</v>
      </c>
      <c r="E479" s="181" t="s">
        <v>1923</v>
      </c>
      <c r="F479" s="181" t="s">
        <v>57</v>
      </c>
      <c r="G479" s="181" t="s">
        <v>485</v>
      </c>
      <c r="H479" s="115" t="s">
        <v>1844</v>
      </c>
      <c r="I479" s="275" t="s">
        <v>1895</v>
      </c>
      <c r="J479" s="181" t="s">
        <v>1105</v>
      </c>
    </row>
    <row r="480" spans="1:10">
      <c r="A480" s="181">
        <v>393</v>
      </c>
      <c r="B480" s="181" t="s">
        <v>1924</v>
      </c>
      <c r="C480" s="181" t="s">
        <v>1925</v>
      </c>
      <c r="D480" s="181" t="s">
        <v>1926</v>
      </c>
      <c r="E480" s="181" t="s">
        <v>1927</v>
      </c>
      <c r="F480" s="181" t="s">
        <v>57</v>
      </c>
      <c r="G480" s="181" t="s">
        <v>485</v>
      </c>
      <c r="H480" s="115" t="s">
        <v>1844</v>
      </c>
      <c r="I480" s="275" t="s">
        <v>1895</v>
      </c>
      <c r="J480" s="181" t="s">
        <v>1105</v>
      </c>
    </row>
    <row r="481" spans="1:10">
      <c r="A481" s="181">
        <v>394</v>
      </c>
      <c r="B481" s="181" t="s">
        <v>1928</v>
      </c>
      <c r="C481" s="181" t="s">
        <v>1929</v>
      </c>
      <c r="D481" s="181" t="s">
        <v>1930</v>
      </c>
      <c r="E481" s="181" t="s">
        <v>1931</v>
      </c>
      <c r="F481" s="181" t="s">
        <v>1819</v>
      </c>
      <c r="G481" s="181" t="s">
        <v>1932</v>
      </c>
      <c r="H481" s="115" t="s">
        <v>1844</v>
      </c>
      <c r="I481" s="275" t="s">
        <v>1895</v>
      </c>
      <c r="J481" s="181" t="s">
        <v>1157</v>
      </c>
    </row>
    <row r="482" spans="1:10">
      <c r="A482" s="181">
        <v>395</v>
      </c>
      <c r="B482" s="181" t="s">
        <v>1933</v>
      </c>
      <c r="C482" s="181" t="s">
        <v>1934</v>
      </c>
      <c r="D482" s="181" t="s">
        <v>1935</v>
      </c>
      <c r="E482" s="181" t="s">
        <v>1936</v>
      </c>
      <c r="F482" s="181" t="s">
        <v>1819</v>
      </c>
      <c r="G482" s="181" t="s">
        <v>1932</v>
      </c>
      <c r="H482" s="115" t="s">
        <v>1844</v>
      </c>
      <c r="I482" s="275" t="s">
        <v>1895</v>
      </c>
      <c r="J482" s="181" t="s">
        <v>1105</v>
      </c>
    </row>
    <row r="483" spans="1:10">
      <c r="A483" s="181">
        <v>396</v>
      </c>
      <c r="B483" s="181" t="s">
        <v>1937</v>
      </c>
      <c r="C483" s="181" t="s">
        <v>1938</v>
      </c>
      <c r="D483" s="181" t="s">
        <v>1939</v>
      </c>
      <c r="E483" s="181" t="s">
        <v>1940</v>
      </c>
      <c r="F483" s="181" t="s">
        <v>1819</v>
      </c>
      <c r="G483" s="181" t="s">
        <v>1932</v>
      </c>
      <c r="H483" s="115" t="s">
        <v>1844</v>
      </c>
      <c r="I483" s="275" t="s">
        <v>1895</v>
      </c>
      <c r="J483" s="181" t="s">
        <v>1105</v>
      </c>
    </row>
    <row r="484" spans="1:10" s="181" customFormat="1">
      <c r="H484" s="115"/>
      <c r="I484" s="275"/>
    </row>
    <row r="485" spans="1:10">
      <c r="A485" s="181">
        <v>397</v>
      </c>
      <c r="B485" s="178" t="s">
        <v>1941</v>
      </c>
      <c r="C485" s="179" t="s">
        <v>1942</v>
      </c>
      <c r="D485" s="186" t="s">
        <v>1943</v>
      </c>
      <c r="E485" s="180">
        <v>17767778571</v>
      </c>
      <c r="F485" s="180" t="s">
        <v>742</v>
      </c>
      <c r="G485" s="180" t="s">
        <v>1637</v>
      </c>
      <c r="H485" s="174" t="s">
        <v>1844</v>
      </c>
      <c r="I485" s="196" t="s">
        <v>1944</v>
      </c>
      <c r="J485" s="181" t="s">
        <v>1105</v>
      </c>
    </row>
    <row r="486" spans="1:10" ht="15" thickBot="1">
      <c r="A486" s="183">
        <v>398</v>
      </c>
      <c r="B486" s="184" t="s">
        <v>1945</v>
      </c>
      <c r="C486" s="179" t="s">
        <v>1946</v>
      </c>
      <c r="D486" s="186" t="s">
        <v>1947</v>
      </c>
      <c r="E486" s="180">
        <v>15311257764</v>
      </c>
      <c r="F486" s="180" t="s">
        <v>742</v>
      </c>
      <c r="G486" s="180" t="s">
        <v>1637</v>
      </c>
      <c r="H486" s="174" t="s">
        <v>1844</v>
      </c>
      <c r="I486" s="196" t="s">
        <v>1944</v>
      </c>
      <c r="J486" s="181" t="s">
        <v>1105</v>
      </c>
    </row>
    <row r="487" spans="1:10">
      <c r="A487" s="181">
        <v>399</v>
      </c>
      <c r="B487" s="194" t="s">
        <v>1948</v>
      </c>
      <c r="C487" s="179" t="s">
        <v>1949</v>
      </c>
      <c r="D487" s="187" t="s">
        <v>1950</v>
      </c>
      <c r="E487" s="177">
        <v>18626666745</v>
      </c>
      <c r="F487" s="180" t="s">
        <v>742</v>
      </c>
      <c r="G487" s="180" t="s">
        <v>1637</v>
      </c>
      <c r="H487" s="174" t="s">
        <v>1735</v>
      </c>
      <c r="I487" s="195" t="s">
        <v>1951</v>
      </c>
      <c r="J487" s="181" t="s">
        <v>1105</v>
      </c>
    </row>
    <row r="488" spans="1:10">
      <c r="A488" s="183">
        <v>400</v>
      </c>
      <c r="B488" s="175" t="s">
        <v>1952</v>
      </c>
      <c r="C488" s="179" t="s">
        <v>1953</v>
      </c>
      <c r="D488" s="187" t="s">
        <v>1954</v>
      </c>
      <c r="E488" s="177">
        <v>18744177181</v>
      </c>
      <c r="F488" s="180" t="s">
        <v>742</v>
      </c>
      <c r="G488" s="180" t="s">
        <v>1637</v>
      </c>
      <c r="H488" s="174" t="s">
        <v>1735</v>
      </c>
      <c r="I488" s="196" t="s">
        <v>1951</v>
      </c>
      <c r="J488" s="181" t="s">
        <v>1105</v>
      </c>
    </row>
    <row r="489" spans="1:10">
      <c r="A489" s="181">
        <v>401</v>
      </c>
      <c r="B489" s="175" t="s">
        <v>1955</v>
      </c>
      <c r="C489" s="179" t="s">
        <v>1956</v>
      </c>
      <c r="D489" s="187" t="s">
        <v>1957</v>
      </c>
      <c r="E489" s="177">
        <v>15567369886</v>
      </c>
      <c r="F489" s="180" t="s">
        <v>742</v>
      </c>
      <c r="G489" s="180" t="s">
        <v>1637</v>
      </c>
      <c r="H489" s="174" t="s">
        <v>1735</v>
      </c>
      <c r="I489" s="196" t="s">
        <v>1951</v>
      </c>
      <c r="J489" s="181" t="s">
        <v>1105</v>
      </c>
    </row>
    <row r="490" spans="1:10">
      <c r="A490" s="183">
        <v>402</v>
      </c>
      <c r="B490" s="176" t="s">
        <v>1958</v>
      </c>
      <c r="C490" s="325" t="s">
        <v>1959</v>
      </c>
      <c r="D490" s="188" t="s">
        <v>1960</v>
      </c>
      <c r="E490" s="189">
        <v>18902231158</v>
      </c>
      <c r="F490" s="185" t="s">
        <v>1961</v>
      </c>
      <c r="G490" s="185" t="s">
        <v>1962</v>
      </c>
      <c r="H490" s="174" t="s">
        <v>1735</v>
      </c>
      <c r="I490" s="196" t="s">
        <v>1951</v>
      </c>
      <c r="J490" s="181" t="s">
        <v>1105</v>
      </c>
    </row>
    <row r="491" spans="1:10">
      <c r="A491" s="181">
        <v>403</v>
      </c>
      <c r="B491" s="182" t="s">
        <v>1963</v>
      </c>
      <c r="C491" s="326" t="s">
        <v>1964</v>
      </c>
      <c r="D491" s="190" t="s">
        <v>1965</v>
      </c>
      <c r="E491" s="191">
        <v>13357370479</v>
      </c>
      <c r="F491" s="177" t="s">
        <v>1961</v>
      </c>
      <c r="G491" s="177" t="s">
        <v>1962</v>
      </c>
      <c r="H491" s="174" t="s">
        <v>1735</v>
      </c>
      <c r="I491" s="196" t="s">
        <v>1951</v>
      </c>
      <c r="J491" s="181" t="s">
        <v>1105</v>
      </c>
    </row>
    <row r="492" spans="1:10">
      <c r="A492" s="183">
        <v>404</v>
      </c>
      <c r="B492" s="182" t="s">
        <v>1966</v>
      </c>
      <c r="C492" s="326" t="s">
        <v>1967</v>
      </c>
      <c r="D492" s="190" t="s">
        <v>1968</v>
      </c>
      <c r="E492" s="189">
        <v>15382122041</v>
      </c>
      <c r="F492" s="177" t="s">
        <v>1961</v>
      </c>
      <c r="G492" s="177" t="s">
        <v>1962</v>
      </c>
      <c r="H492" s="174" t="s">
        <v>1735</v>
      </c>
      <c r="I492" s="196" t="s">
        <v>1951</v>
      </c>
      <c r="J492" s="181" t="s">
        <v>1105</v>
      </c>
    </row>
    <row r="493" spans="1:10">
      <c r="A493" s="181">
        <v>405</v>
      </c>
      <c r="B493" s="182" t="s">
        <v>1969</v>
      </c>
      <c r="C493" s="326" t="s">
        <v>1970</v>
      </c>
      <c r="D493" s="190" t="s">
        <v>1971</v>
      </c>
      <c r="E493" s="191">
        <v>15241831204</v>
      </c>
      <c r="F493" s="177" t="s">
        <v>1961</v>
      </c>
      <c r="G493" s="177" t="s">
        <v>1962</v>
      </c>
      <c r="H493" s="174" t="s">
        <v>1735</v>
      </c>
      <c r="I493" s="196" t="s">
        <v>1951</v>
      </c>
      <c r="J493" s="181" t="s">
        <v>1157</v>
      </c>
    </row>
    <row r="494" spans="1:10">
      <c r="A494" s="183">
        <v>406</v>
      </c>
      <c r="B494" s="182" t="s">
        <v>1972</v>
      </c>
      <c r="C494" s="326" t="s">
        <v>1973</v>
      </c>
      <c r="D494" s="190" t="s">
        <v>1974</v>
      </c>
      <c r="E494" s="189">
        <v>18238458961</v>
      </c>
      <c r="F494" s="177" t="s">
        <v>1961</v>
      </c>
      <c r="G494" s="177" t="s">
        <v>1962</v>
      </c>
      <c r="H494" s="174" t="s">
        <v>1735</v>
      </c>
      <c r="I494" s="196" t="s">
        <v>1951</v>
      </c>
      <c r="J494" s="181" t="s">
        <v>1157</v>
      </c>
    </row>
    <row r="495" spans="1:10">
      <c r="A495" s="181">
        <v>407</v>
      </c>
      <c r="B495" s="182" t="s">
        <v>1975</v>
      </c>
      <c r="C495" s="326" t="s">
        <v>1976</v>
      </c>
      <c r="D495" s="190" t="s">
        <v>1977</v>
      </c>
      <c r="E495" s="191">
        <v>13843166158</v>
      </c>
      <c r="F495" s="177" t="s">
        <v>1961</v>
      </c>
      <c r="G495" s="177" t="s">
        <v>1962</v>
      </c>
      <c r="H495" s="174" t="s">
        <v>1735</v>
      </c>
      <c r="I495" s="196" t="s">
        <v>1951</v>
      </c>
      <c r="J495" s="181" t="s">
        <v>1157</v>
      </c>
    </row>
    <row r="496" spans="1:10">
      <c r="A496" s="183">
        <v>408</v>
      </c>
      <c r="B496" s="182" t="s">
        <v>1978</v>
      </c>
      <c r="C496" s="326" t="s">
        <v>1979</v>
      </c>
      <c r="D496" s="190" t="s">
        <v>1980</v>
      </c>
      <c r="E496" s="189">
        <v>19302557806</v>
      </c>
      <c r="F496" s="177" t="s">
        <v>245</v>
      </c>
      <c r="G496" s="177" t="s">
        <v>1981</v>
      </c>
      <c r="H496" s="174" t="s">
        <v>1735</v>
      </c>
      <c r="I496" s="196" t="s">
        <v>1951</v>
      </c>
      <c r="J496" s="181" t="s">
        <v>1105</v>
      </c>
    </row>
    <row r="497" spans="1:10">
      <c r="A497" s="181">
        <v>409</v>
      </c>
      <c r="B497" s="182" t="s">
        <v>151</v>
      </c>
      <c r="C497" s="326" t="s">
        <v>1982</v>
      </c>
      <c r="D497" s="190" t="s">
        <v>1983</v>
      </c>
      <c r="E497" s="191">
        <v>17549695520</v>
      </c>
      <c r="F497" s="177" t="s">
        <v>245</v>
      </c>
      <c r="G497" s="177" t="s">
        <v>1981</v>
      </c>
      <c r="H497" s="174" t="s">
        <v>1735</v>
      </c>
      <c r="I497" s="196" t="s">
        <v>1951</v>
      </c>
      <c r="J497" s="181" t="s">
        <v>1105</v>
      </c>
    </row>
    <row r="498" spans="1:10">
      <c r="A498" s="183">
        <v>410</v>
      </c>
      <c r="B498" s="182" t="s">
        <v>1984</v>
      </c>
      <c r="C498" s="326" t="s">
        <v>1985</v>
      </c>
      <c r="D498" s="190" t="s">
        <v>1986</v>
      </c>
      <c r="E498" s="189" t="s">
        <v>1987</v>
      </c>
      <c r="F498" s="177" t="s">
        <v>245</v>
      </c>
      <c r="G498" s="177" t="s">
        <v>1981</v>
      </c>
      <c r="H498" s="174" t="s">
        <v>1735</v>
      </c>
      <c r="I498" s="196" t="s">
        <v>1951</v>
      </c>
      <c r="J498" s="181" t="s">
        <v>1105</v>
      </c>
    </row>
    <row r="499" spans="1:10">
      <c r="A499" s="181">
        <v>411</v>
      </c>
      <c r="B499" s="182" t="s">
        <v>1988</v>
      </c>
      <c r="C499" s="326" t="s">
        <v>1989</v>
      </c>
      <c r="D499" s="190" t="s">
        <v>1990</v>
      </c>
      <c r="E499" s="191" t="s">
        <v>1991</v>
      </c>
      <c r="F499" s="177" t="s">
        <v>245</v>
      </c>
      <c r="G499" s="177" t="s">
        <v>1981</v>
      </c>
      <c r="H499" s="174" t="s">
        <v>1735</v>
      </c>
      <c r="I499" s="196" t="s">
        <v>1951</v>
      </c>
      <c r="J499" s="181" t="s">
        <v>1105</v>
      </c>
    </row>
    <row r="500" spans="1:10" ht="15" thickBot="1">
      <c r="A500" s="183">
        <v>412</v>
      </c>
      <c r="B500" s="182" t="s">
        <v>1992</v>
      </c>
      <c r="C500" s="326" t="s">
        <v>1993</v>
      </c>
      <c r="D500" s="190" t="s">
        <v>1994</v>
      </c>
      <c r="E500" s="192" t="s">
        <v>1995</v>
      </c>
      <c r="F500" s="177" t="s">
        <v>245</v>
      </c>
      <c r="G500" s="177" t="s">
        <v>1981</v>
      </c>
      <c r="H500" s="174" t="s">
        <v>1735</v>
      </c>
      <c r="I500" s="327" t="s">
        <v>1951</v>
      </c>
      <c r="J500" s="181" t="s">
        <v>1105</v>
      </c>
    </row>
    <row r="501" spans="1:10">
      <c r="A501" s="181">
        <v>413</v>
      </c>
      <c r="B501" s="182" t="s">
        <v>1996</v>
      </c>
      <c r="C501" s="326" t="s">
        <v>1997</v>
      </c>
      <c r="D501" s="190" t="s">
        <v>1998</v>
      </c>
      <c r="E501" s="191" t="s">
        <v>1999</v>
      </c>
      <c r="F501" s="177" t="s">
        <v>245</v>
      </c>
      <c r="G501" s="177" t="s">
        <v>1981</v>
      </c>
      <c r="H501" s="174" t="s">
        <v>1735</v>
      </c>
      <c r="I501" s="195" t="s">
        <v>2000</v>
      </c>
      <c r="J501" s="181" t="s">
        <v>1157</v>
      </c>
    </row>
    <row r="502" spans="1:10">
      <c r="A502" s="183">
        <v>414</v>
      </c>
      <c r="B502" s="182" t="s">
        <v>2001</v>
      </c>
      <c r="C502" s="326" t="s">
        <v>2002</v>
      </c>
      <c r="D502" s="190" t="s">
        <v>2003</v>
      </c>
      <c r="E502" s="189" t="s">
        <v>2004</v>
      </c>
      <c r="F502" s="177" t="s">
        <v>245</v>
      </c>
      <c r="G502" s="177" t="s">
        <v>1981</v>
      </c>
      <c r="H502" s="174" t="s">
        <v>1735</v>
      </c>
      <c r="I502" s="196" t="s">
        <v>2000</v>
      </c>
      <c r="J502" s="181" t="s">
        <v>1157</v>
      </c>
    </row>
    <row r="503" spans="1:10">
      <c r="A503" s="181">
        <v>415</v>
      </c>
      <c r="B503" s="182" t="s">
        <v>2005</v>
      </c>
      <c r="C503" s="326" t="s">
        <v>2006</v>
      </c>
      <c r="D503" s="190" t="s">
        <v>2007</v>
      </c>
      <c r="E503" s="191" t="s">
        <v>2008</v>
      </c>
      <c r="F503" s="177" t="s">
        <v>245</v>
      </c>
      <c r="G503" s="177" t="s">
        <v>1981</v>
      </c>
      <c r="H503" s="174" t="s">
        <v>1735</v>
      </c>
      <c r="I503" s="196" t="s">
        <v>2000</v>
      </c>
      <c r="J503" s="181" t="s">
        <v>1157</v>
      </c>
    </row>
    <row r="504" spans="1:10">
      <c r="A504" s="183">
        <v>416</v>
      </c>
      <c r="B504" s="182" t="s">
        <v>2009</v>
      </c>
      <c r="C504" s="326" t="s">
        <v>2010</v>
      </c>
      <c r="D504" s="190" t="s">
        <v>2011</v>
      </c>
      <c r="E504" s="189" t="s">
        <v>2012</v>
      </c>
      <c r="F504" s="177" t="s">
        <v>560</v>
      </c>
      <c r="G504" s="177" t="s">
        <v>2013</v>
      </c>
      <c r="H504" s="174" t="s">
        <v>1844</v>
      </c>
      <c r="I504" s="196" t="s">
        <v>1944</v>
      </c>
      <c r="J504" s="181" t="s">
        <v>1105</v>
      </c>
    </row>
    <row r="505" spans="1:10">
      <c r="A505" s="181">
        <v>417</v>
      </c>
      <c r="B505" s="182" t="s">
        <v>628</v>
      </c>
      <c r="C505" s="326" t="s">
        <v>629</v>
      </c>
      <c r="D505" s="190" t="s">
        <v>630</v>
      </c>
      <c r="E505" s="191" t="s">
        <v>2014</v>
      </c>
      <c r="F505" s="177" t="s">
        <v>560</v>
      </c>
      <c r="G505" s="177" t="s">
        <v>2013</v>
      </c>
      <c r="H505" s="174" t="s">
        <v>1844</v>
      </c>
      <c r="I505" s="196" t="s">
        <v>1944</v>
      </c>
      <c r="J505" s="181" t="s">
        <v>1105</v>
      </c>
    </row>
    <row r="506" spans="1:10">
      <c r="A506" s="183">
        <v>418</v>
      </c>
      <c r="B506" s="182" t="s">
        <v>2015</v>
      </c>
      <c r="C506" s="326" t="s">
        <v>2016</v>
      </c>
      <c r="D506" s="190" t="s">
        <v>2017</v>
      </c>
      <c r="E506" s="189" t="s">
        <v>2018</v>
      </c>
      <c r="F506" s="177" t="s">
        <v>560</v>
      </c>
      <c r="G506" s="177" t="s">
        <v>2013</v>
      </c>
      <c r="H506" s="174" t="s">
        <v>1844</v>
      </c>
      <c r="I506" s="196" t="s">
        <v>1944</v>
      </c>
      <c r="J506" s="181" t="s">
        <v>1105</v>
      </c>
    </row>
    <row r="507" spans="1:10">
      <c r="A507" s="181">
        <v>419</v>
      </c>
      <c r="B507" s="182" t="s">
        <v>1596</v>
      </c>
      <c r="C507" s="326" t="s">
        <v>1597</v>
      </c>
      <c r="D507" s="190" t="s">
        <v>1598</v>
      </c>
      <c r="E507" s="191" t="s">
        <v>2019</v>
      </c>
      <c r="F507" s="177" t="s">
        <v>560</v>
      </c>
      <c r="G507" s="177" t="s">
        <v>2013</v>
      </c>
      <c r="H507" s="174" t="s">
        <v>1844</v>
      </c>
      <c r="I507" s="196" t="s">
        <v>1944</v>
      </c>
      <c r="J507" s="181" t="s">
        <v>1105</v>
      </c>
    </row>
    <row r="508" spans="1:10">
      <c r="A508" s="183">
        <v>420</v>
      </c>
      <c r="B508" s="182" t="s">
        <v>618</v>
      </c>
      <c r="C508" s="326" t="s">
        <v>619</v>
      </c>
      <c r="D508" s="190" t="s">
        <v>620</v>
      </c>
      <c r="E508" s="189" t="s">
        <v>2020</v>
      </c>
      <c r="F508" s="177" t="s">
        <v>560</v>
      </c>
      <c r="G508" s="177" t="s">
        <v>2013</v>
      </c>
      <c r="H508" s="174" t="s">
        <v>1844</v>
      </c>
      <c r="I508" s="196" t="s">
        <v>1944</v>
      </c>
      <c r="J508" s="181" t="s">
        <v>1105</v>
      </c>
    </row>
    <row r="509" spans="1:10">
      <c r="A509" s="181">
        <v>421</v>
      </c>
      <c r="B509" s="182" t="s">
        <v>2021</v>
      </c>
      <c r="C509" s="326" t="s">
        <v>2022</v>
      </c>
      <c r="D509" s="190" t="s">
        <v>2023</v>
      </c>
      <c r="E509" s="191" t="s">
        <v>2024</v>
      </c>
      <c r="F509" s="177" t="s">
        <v>560</v>
      </c>
      <c r="G509" s="177" t="s">
        <v>2013</v>
      </c>
      <c r="H509" s="174" t="s">
        <v>1844</v>
      </c>
      <c r="I509" s="196" t="s">
        <v>1944</v>
      </c>
      <c r="J509" s="181" t="s">
        <v>1105</v>
      </c>
    </row>
    <row r="510" spans="1:10">
      <c r="A510" s="183">
        <v>422</v>
      </c>
      <c r="B510" s="182" t="s">
        <v>1590</v>
      </c>
      <c r="C510" s="326" t="s">
        <v>2025</v>
      </c>
      <c r="D510" s="190" t="s">
        <v>1592</v>
      </c>
      <c r="E510" s="189" t="s">
        <v>2026</v>
      </c>
      <c r="F510" s="177" t="s">
        <v>560</v>
      </c>
      <c r="G510" s="177" t="s">
        <v>2013</v>
      </c>
      <c r="H510" s="174" t="s">
        <v>1844</v>
      </c>
      <c r="I510" s="327" t="s">
        <v>1944</v>
      </c>
      <c r="J510" s="181" t="s">
        <v>1105</v>
      </c>
    </row>
    <row r="511" spans="1:10">
      <c r="A511" s="181">
        <v>423</v>
      </c>
      <c r="B511" s="182" t="s">
        <v>556</v>
      </c>
      <c r="C511" s="326" t="s">
        <v>2027</v>
      </c>
      <c r="D511" s="190" t="s">
        <v>558</v>
      </c>
      <c r="E511" s="191" t="s">
        <v>2028</v>
      </c>
      <c r="F511" s="177" t="s">
        <v>560</v>
      </c>
      <c r="G511" s="177" t="s">
        <v>2013</v>
      </c>
      <c r="H511" s="174" t="s">
        <v>1735</v>
      </c>
      <c r="I511" s="196" t="s">
        <v>2000</v>
      </c>
      <c r="J511" s="181" t="s">
        <v>1105</v>
      </c>
    </row>
    <row r="512" spans="1:10">
      <c r="A512" s="183">
        <v>424</v>
      </c>
      <c r="B512" s="182" t="s">
        <v>2029</v>
      </c>
      <c r="C512" s="326" t="s">
        <v>2030</v>
      </c>
      <c r="D512" s="190" t="s">
        <v>2031</v>
      </c>
      <c r="E512" s="189" t="s">
        <v>2032</v>
      </c>
      <c r="F512" s="177" t="s">
        <v>560</v>
      </c>
      <c r="G512" s="177" t="s">
        <v>2013</v>
      </c>
      <c r="H512" s="174" t="s">
        <v>1735</v>
      </c>
      <c r="I512" s="196" t="s">
        <v>2000</v>
      </c>
      <c r="J512" s="181" t="s">
        <v>1157</v>
      </c>
    </row>
    <row r="513" spans="1:10">
      <c r="A513" s="181">
        <v>425</v>
      </c>
      <c r="B513" s="182" t="s">
        <v>2033</v>
      </c>
      <c r="C513" s="326" t="s">
        <v>2034</v>
      </c>
      <c r="D513" s="190" t="s">
        <v>2035</v>
      </c>
      <c r="E513" s="191" t="s">
        <v>2036</v>
      </c>
      <c r="F513" s="177" t="s">
        <v>560</v>
      </c>
      <c r="G513" s="177" t="s">
        <v>2013</v>
      </c>
      <c r="H513" s="174" t="s">
        <v>1735</v>
      </c>
      <c r="I513" s="196" t="s">
        <v>2000</v>
      </c>
      <c r="J513" s="181" t="s">
        <v>1157</v>
      </c>
    </row>
    <row r="514" spans="1:10">
      <c r="A514" s="183">
        <v>426</v>
      </c>
      <c r="B514" s="182" t="s">
        <v>2037</v>
      </c>
      <c r="C514" s="326" t="s">
        <v>2038</v>
      </c>
      <c r="D514" s="190" t="s">
        <v>2039</v>
      </c>
      <c r="E514" s="189" t="s">
        <v>2040</v>
      </c>
      <c r="F514" s="177" t="s">
        <v>560</v>
      </c>
      <c r="G514" s="177" t="s">
        <v>2013</v>
      </c>
      <c r="H514" s="174" t="s">
        <v>1735</v>
      </c>
      <c r="I514" s="196" t="s">
        <v>2000</v>
      </c>
      <c r="J514" s="181" t="s">
        <v>1105</v>
      </c>
    </row>
    <row r="515" spans="1:10">
      <c r="A515" s="181">
        <v>427</v>
      </c>
      <c r="B515" s="182" t="s">
        <v>2041</v>
      </c>
      <c r="C515" s="326" t="s">
        <v>2042</v>
      </c>
      <c r="D515" s="190" t="s">
        <v>2043</v>
      </c>
      <c r="E515" s="191" t="s">
        <v>2044</v>
      </c>
      <c r="F515" s="177" t="s">
        <v>560</v>
      </c>
      <c r="G515" s="177" t="s">
        <v>2013</v>
      </c>
      <c r="H515" s="174" t="s">
        <v>1735</v>
      </c>
      <c r="I515" s="196" t="s">
        <v>2000</v>
      </c>
      <c r="J515" s="181" t="s">
        <v>1157</v>
      </c>
    </row>
    <row r="516" spans="1:10">
      <c r="A516" s="183">
        <v>428</v>
      </c>
      <c r="B516" s="182" t="s">
        <v>2045</v>
      </c>
      <c r="C516" s="326" t="s">
        <v>2046</v>
      </c>
      <c r="D516" s="190" t="s">
        <v>2047</v>
      </c>
      <c r="E516" s="189" t="s">
        <v>2048</v>
      </c>
      <c r="F516" s="177" t="s">
        <v>560</v>
      </c>
      <c r="G516" s="177" t="s">
        <v>2013</v>
      </c>
      <c r="H516" s="174" t="s">
        <v>1735</v>
      </c>
      <c r="I516" s="196" t="s">
        <v>2000</v>
      </c>
      <c r="J516" s="181" t="s">
        <v>1105</v>
      </c>
    </row>
    <row r="517" spans="1:10">
      <c r="A517" s="181">
        <v>429</v>
      </c>
      <c r="B517" s="182" t="s">
        <v>2049</v>
      </c>
      <c r="C517" s="326" t="s">
        <v>2050</v>
      </c>
      <c r="D517" s="190" t="s">
        <v>2051</v>
      </c>
      <c r="E517" s="191" t="s">
        <v>2052</v>
      </c>
      <c r="F517" s="177" t="s">
        <v>560</v>
      </c>
      <c r="G517" s="177" t="s">
        <v>2013</v>
      </c>
      <c r="H517" s="174" t="s">
        <v>1735</v>
      </c>
      <c r="I517" s="196" t="s">
        <v>2000</v>
      </c>
      <c r="J517" s="181" t="s">
        <v>1105</v>
      </c>
    </row>
    <row r="518" spans="1:10">
      <c r="A518" s="183">
        <v>430</v>
      </c>
      <c r="B518" s="182" t="s">
        <v>2053</v>
      </c>
      <c r="C518" s="326" t="s">
        <v>2054</v>
      </c>
      <c r="D518" s="190" t="s">
        <v>2055</v>
      </c>
      <c r="E518" s="189" t="s">
        <v>2056</v>
      </c>
      <c r="F518" s="177" t="s">
        <v>560</v>
      </c>
      <c r="G518" s="177" t="s">
        <v>2013</v>
      </c>
      <c r="H518" s="174" t="s">
        <v>1735</v>
      </c>
      <c r="I518" s="196" t="s">
        <v>2000</v>
      </c>
      <c r="J518" s="181" t="s">
        <v>1157</v>
      </c>
    </row>
    <row r="519" spans="1:10">
      <c r="A519" s="181">
        <v>431</v>
      </c>
      <c r="B519" s="182" t="s">
        <v>1928</v>
      </c>
      <c r="C519" s="326" t="s">
        <v>2057</v>
      </c>
      <c r="D519" s="190" t="s">
        <v>1930</v>
      </c>
      <c r="E519" s="191" t="s">
        <v>1931</v>
      </c>
      <c r="F519" s="177" t="s">
        <v>1819</v>
      </c>
      <c r="G519" s="177" t="s">
        <v>1932</v>
      </c>
      <c r="H519" s="174" t="s">
        <v>1844</v>
      </c>
      <c r="I519" s="196" t="s">
        <v>1944</v>
      </c>
      <c r="J519" s="181" t="s">
        <v>1105</v>
      </c>
    </row>
    <row r="520" spans="1:10">
      <c r="A520" s="183">
        <v>432</v>
      </c>
      <c r="B520" s="182" t="s">
        <v>2058</v>
      </c>
      <c r="C520" s="326" t="s">
        <v>2059</v>
      </c>
      <c r="D520" s="190" t="s">
        <v>2060</v>
      </c>
      <c r="E520" s="189" t="s">
        <v>2061</v>
      </c>
      <c r="F520" s="177" t="s">
        <v>1819</v>
      </c>
      <c r="G520" s="177" t="s">
        <v>1932</v>
      </c>
      <c r="H520" s="174" t="s">
        <v>1844</v>
      </c>
      <c r="I520" s="196" t="s">
        <v>1944</v>
      </c>
      <c r="J520" s="181" t="s">
        <v>1105</v>
      </c>
    </row>
    <row r="521" spans="1:10">
      <c r="A521" s="181">
        <v>433</v>
      </c>
      <c r="B521" s="182" t="s">
        <v>1750</v>
      </c>
      <c r="C521" s="326" t="s">
        <v>2062</v>
      </c>
      <c r="D521" s="190" t="s">
        <v>1752</v>
      </c>
      <c r="E521" s="191" t="s">
        <v>1753</v>
      </c>
      <c r="F521" s="177" t="s">
        <v>1754</v>
      </c>
      <c r="G521" s="177" t="s">
        <v>1755</v>
      </c>
      <c r="H521" s="174" t="s">
        <v>1735</v>
      </c>
      <c r="I521" s="196" t="s">
        <v>2000</v>
      </c>
      <c r="J521" s="181" t="s">
        <v>1105</v>
      </c>
    </row>
    <row r="522" spans="1:10">
      <c r="A522" s="183">
        <v>434</v>
      </c>
      <c r="B522" s="182" t="s">
        <v>1756</v>
      </c>
      <c r="C522" s="326" t="s">
        <v>2063</v>
      </c>
      <c r="D522" s="190" t="s">
        <v>1758</v>
      </c>
      <c r="E522" s="189" t="s">
        <v>1759</v>
      </c>
      <c r="F522" s="177" t="s">
        <v>1754</v>
      </c>
      <c r="G522" s="177" t="s">
        <v>1755</v>
      </c>
      <c r="H522" s="174" t="s">
        <v>1735</v>
      </c>
      <c r="I522" s="196" t="s">
        <v>2000</v>
      </c>
      <c r="J522" s="181" t="s">
        <v>1105</v>
      </c>
    </row>
    <row r="523" spans="1:10" ht="15" thickBot="1">
      <c r="A523" s="181">
        <v>435</v>
      </c>
      <c r="B523" s="182" t="s">
        <v>2064</v>
      </c>
      <c r="C523" s="326" t="s">
        <v>2065</v>
      </c>
      <c r="D523" s="190" t="s">
        <v>2066</v>
      </c>
      <c r="E523" s="191" t="s">
        <v>2067</v>
      </c>
      <c r="F523" s="177" t="s">
        <v>1754</v>
      </c>
      <c r="G523" s="177" t="s">
        <v>1755</v>
      </c>
      <c r="H523" s="174" t="s">
        <v>1735</v>
      </c>
      <c r="I523" s="197" t="s">
        <v>2000</v>
      </c>
      <c r="J523" s="181" t="s">
        <v>1105</v>
      </c>
    </row>
    <row r="524" spans="1:10">
      <c r="A524" s="183">
        <v>436</v>
      </c>
      <c r="B524" s="182" t="s">
        <v>2068</v>
      </c>
      <c r="C524" s="326" t="s">
        <v>2069</v>
      </c>
      <c r="D524" s="190" t="s">
        <v>2070</v>
      </c>
      <c r="E524" s="189" t="s">
        <v>2071</v>
      </c>
      <c r="F524" s="177" t="s">
        <v>1754</v>
      </c>
      <c r="G524" s="177" t="s">
        <v>1755</v>
      </c>
      <c r="H524" s="174" t="s">
        <v>1735</v>
      </c>
      <c r="I524" s="195" t="s">
        <v>2072</v>
      </c>
      <c r="J524" s="181" t="s">
        <v>1105</v>
      </c>
    </row>
    <row r="525" spans="1:10">
      <c r="A525" s="181">
        <v>437</v>
      </c>
      <c r="B525" s="182" t="s">
        <v>186</v>
      </c>
      <c r="C525" s="326" t="s">
        <v>2073</v>
      </c>
      <c r="D525" s="190" t="s">
        <v>188</v>
      </c>
      <c r="E525" s="191" t="s">
        <v>189</v>
      </c>
      <c r="F525" s="177" t="s">
        <v>1754</v>
      </c>
      <c r="G525" s="177" t="s">
        <v>1755</v>
      </c>
      <c r="H525" s="174" t="s">
        <v>1735</v>
      </c>
      <c r="I525" s="196" t="s">
        <v>2072</v>
      </c>
      <c r="J525" s="181" t="s">
        <v>1105</v>
      </c>
    </row>
    <row r="526" spans="1:10">
      <c r="A526" s="183">
        <v>438</v>
      </c>
      <c r="B526" s="182" t="s">
        <v>1349</v>
      </c>
      <c r="C526" s="326" t="s">
        <v>2074</v>
      </c>
      <c r="D526" s="190" t="s">
        <v>2075</v>
      </c>
      <c r="E526" s="189">
        <v>13726597881</v>
      </c>
      <c r="F526" s="177" t="s">
        <v>57</v>
      </c>
      <c r="G526" s="177" t="s">
        <v>485</v>
      </c>
      <c r="H526" s="174" t="s">
        <v>1844</v>
      </c>
      <c r="I526" s="196" t="s">
        <v>2072</v>
      </c>
      <c r="J526" s="181" t="s">
        <v>1105</v>
      </c>
    </row>
    <row r="527" spans="1:10">
      <c r="A527" s="181">
        <v>439</v>
      </c>
      <c r="B527" s="182" t="s">
        <v>2076</v>
      </c>
      <c r="C527" s="326" t="s">
        <v>2077</v>
      </c>
      <c r="D527" s="190" t="s">
        <v>2078</v>
      </c>
      <c r="E527" s="191">
        <v>15543586776</v>
      </c>
      <c r="F527" s="177" t="s">
        <v>57</v>
      </c>
      <c r="G527" s="177" t="s">
        <v>485</v>
      </c>
      <c r="H527" s="174" t="s">
        <v>1735</v>
      </c>
      <c r="I527" s="196" t="s">
        <v>2072</v>
      </c>
      <c r="J527" s="181" t="s">
        <v>1105</v>
      </c>
    </row>
    <row r="528" spans="1:10">
      <c r="A528" s="183">
        <v>440</v>
      </c>
      <c r="B528" s="182" t="s">
        <v>495</v>
      </c>
      <c r="C528" s="326" t="s">
        <v>2079</v>
      </c>
      <c r="D528" s="190" t="s">
        <v>497</v>
      </c>
      <c r="E528" s="189">
        <v>18844509040</v>
      </c>
      <c r="F528" s="177" t="s">
        <v>57</v>
      </c>
      <c r="G528" s="177" t="s">
        <v>485</v>
      </c>
      <c r="H528" s="174" t="s">
        <v>1735</v>
      </c>
      <c r="I528" s="196" t="s">
        <v>2072</v>
      </c>
      <c r="J528" s="181" t="s">
        <v>1105</v>
      </c>
    </row>
    <row r="529" spans="1:10">
      <c r="A529" s="181">
        <v>441</v>
      </c>
      <c r="B529" s="182"/>
      <c r="C529" s="326" t="s">
        <v>2080</v>
      </c>
      <c r="D529" s="190" t="s">
        <v>2081</v>
      </c>
      <c r="E529" s="191" t="s">
        <v>2082</v>
      </c>
      <c r="F529" s="177" t="s">
        <v>332</v>
      </c>
      <c r="G529" s="177" t="s">
        <v>2083</v>
      </c>
      <c r="H529" s="174" t="s">
        <v>1844</v>
      </c>
      <c r="I529" s="196" t="s">
        <v>2072</v>
      </c>
      <c r="J529" s="181" t="s">
        <v>1157</v>
      </c>
    </row>
    <row r="530" spans="1:10">
      <c r="A530" s="183">
        <v>442</v>
      </c>
      <c r="B530" s="182"/>
      <c r="C530" s="326" t="s">
        <v>2084</v>
      </c>
      <c r="D530" s="190" t="s">
        <v>2085</v>
      </c>
      <c r="E530" s="189" t="s">
        <v>2086</v>
      </c>
      <c r="F530" s="177" t="s">
        <v>332</v>
      </c>
      <c r="G530" s="177" t="s">
        <v>2083</v>
      </c>
      <c r="H530" s="174" t="s">
        <v>1735</v>
      </c>
      <c r="I530" s="196" t="s">
        <v>2072</v>
      </c>
      <c r="J530" s="181" t="s">
        <v>1157</v>
      </c>
    </row>
    <row r="531" spans="1:10">
      <c r="A531" s="181">
        <v>443</v>
      </c>
      <c r="B531" s="182"/>
      <c r="C531" s="326" t="s">
        <v>2087</v>
      </c>
      <c r="D531" s="190" t="s">
        <v>2088</v>
      </c>
      <c r="E531" s="191" t="s">
        <v>2089</v>
      </c>
      <c r="F531" s="177" t="s">
        <v>332</v>
      </c>
      <c r="G531" s="177" t="s">
        <v>2083</v>
      </c>
      <c r="H531" s="174" t="s">
        <v>1735</v>
      </c>
      <c r="I531" s="196" t="s">
        <v>2072</v>
      </c>
      <c r="J531" s="181" t="s">
        <v>1105</v>
      </c>
    </row>
    <row r="532" spans="1:10">
      <c r="A532" s="183">
        <v>444</v>
      </c>
      <c r="B532" s="182" t="s">
        <v>113</v>
      </c>
      <c r="C532" s="326" t="s">
        <v>2090</v>
      </c>
      <c r="D532" s="190" t="s">
        <v>115</v>
      </c>
      <c r="E532" s="189" t="s">
        <v>116</v>
      </c>
      <c r="F532" s="177" t="s">
        <v>94</v>
      </c>
      <c r="G532" s="177" t="s">
        <v>2091</v>
      </c>
      <c r="H532" s="174" t="s">
        <v>1844</v>
      </c>
      <c r="I532" s="196" t="s">
        <v>2072</v>
      </c>
      <c r="J532" s="181" t="s">
        <v>1105</v>
      </c>
    </row>
    <row r="533" spans="1:10">
      <c r="A533" s="181">
        <v>445</v>
      </c>
      <c r="B533" s="182" t="s">
        <v>98</v>
      </c>
      <c r="C533" s="326" t="s">
        <v>2092</v>
      </c>
      <c r="D533" s="190" t="s">
        <v>100</v>
      </c>
      <c r="E533" s="191" t="s">
        <v>101</v>
      </c>
      <c r="F533" s="177" t="s">
        <v>94</v>
      </c>
      <c r="G533" s="177" t="s">
        <v>2091</v>
      </c>
      <c r="H533" s="174" t="s">
        <v>1844</v>
      </c>
      <c r="I533" s="196" t="s">
        <v>2072</v>
      </c>
      <c r="J533" s="181" t="s">
        <v>1105</v>
      </c>
    </row>
    <row r="534" spans="1:10">
      <c r="A534" s="183">
        <v>446</v>
      </c>
      <c r="B534" s="182" t="s">
        <v>362</v>
      </c>
      <c r="C534" s="326" t="s">
        <v>2093</v>
      </c>
      <c r="D534" s="190" t="s">
        <v>364</v>
      </c>
      <c r="E534" s="189" t="s">
        <v>2094</v>
      </c>
      <c r="F534" s="177" t="s">
        <v>94</v>
      </c>
      <c r="G534" s="177" t="s">
        <v>2091</v>
      </c>
      <c r="H534" s="174" t="s">
        <v>1844</v>
      </c>
      <c r="I534" s="196" t="s">
        <v>2072</v>
      </c>
      <c r="J534" s="181" t="s">
        <v>1105</v>
      </c>
    </row>
    <row r="535" spans="1:10">
      <c r="A535" s="181">
        <v>447</v>
      </c>
      <c r="B535" s="182" t="s">
        <v>2095</v>
      </c>
      <c r="C535" s="326" t="s">
        <v>2096</v>
      </c>
      <c r="D535" s="190" t="s">
        <v>2097</v>
      </c>
      <c r="E535" s="191" t="s">
        <v>2098</v>
      </c>
      <c r="F535" s="177" t="s">
        <v>94</v>
      </c>
      <c r="G535" s="177" t="s">
        <v>2091</v>
      </c>
      <c r="H535" s="174" t="s">
        <v>1844</v>
      </c>
      <c r="I535" s="196" t="s">
        <v>2072</v>
      </c>
      <c r="J535" s="181" t="s">
        <v>1157</v>
      </c>
    </row>
    <row r="536" spans="1:10">
      <c r="A536" s="183">
        <v>448</v>
      </c>
      <c r="B536" s="182" t="s">
        <v>2099</v>
      </c>
      <c r="C536" s="326" t="s">
        <v>2100</v>
      </c>
      <c r="D536" s="190" t="s">
        <v>2101</v>
      </c>
      <c r="E536" s="189" t="s">
        <v>2102</v>
      </c>
      <c r="F536" s="177" t="s">
        <v>94</v>
      </c>
      <c r="G536" s="177" t="s">
        <v>2091</v>
      </c>
      <c r="H536" s="174" t="s">
        <v>1844</v>
      </c>
      <c r="I536" s="196" t="s">
        <v>2072</v>
      </c>
      <c r="J536" s="181" t="s">
        <v>1105</v>
      </c>
    </row>
    <row r="537" spans="1:10">
      <c r="A537" s="181">
        <v>449</v>
      </c>
      <c r="B537" s="182" t="s">
        <v>2103</v>
      </c>
      <c r="C537" s="326" t="s">
        <v>2104</v>
      </c>
      <c r="D537" s="190" t="s">
        <v>2105</v>
      </c>
      <c r="E537" s="191" t="s">
        <v>2106</v>
      </c>
      <c r="F537" s="177" t="s">
        <v>2107</v>
      </c>
      <c r="G537" s="177" t="s">
        <v>2108</v>
      </c>
      <c r="H537" s="174" t="s">
        <v>1844</v>
      </c>
      <c r="I537" s="196" t="s">
        <v>2072</v>
      </c>
      <c r="J537" s="181" t="s">
        <v>1105</v>
      </c>
    </row>
    <row r="538" spans="1:10">
      <c r="A538" s="183">
        <v>450</v>
      </c>
      <c r="B538" s="182" t="s">
        <v>438</v>
      </c>
      <c r="C538" s="326" t="s">
        <v>2109</v>
      </c>
      <c r="D538" s="190" t="s">
        <v>440</v>
      </c>
      <c r="E538" s="189" t="s">
        <v>441</v>
      </c>
      <c r="F538" s="177" t="s">
        <v>442</v>
      </c>
      <c r="G538" s="177" t="s">
        <v>2110</v>
      </c>
      <c r="H538" s="174" t="s">
        <v>1844</v>
      </c>
      <c r="I538" s="196" t="s">
        <v>2111</v>
      </c>
      <c r="J538" s="181" t="s">
        <v>1105</v>
      </c>
    </row>
    <row r="539" spans="1:10">
      <c r="A539" s="181">
        <v>451</v>
      </c>
      <c r="B539" s="182" t="s">
        <v>2112</v>
      </c>
      <c r="C539" s="326" t="s">
        <v>2113</v>
      </c>
      <c r="D539" s="190" t="s">
        <v>2114</v>
      </c>
      <c r="E539" s="191" t="s">
        <v>2115</v>
      </c>
      <c r="F539" s="177" t="s">
        <v>442</v>
      </c>
      <c r="G539" s="177" t="s">
        <v>2110</v>
      </c>
      <c r="H539" s="174" t="s">
        <v>1844</v>
      </c>
      <c r="I539" s="196" t="s">
        <v>2116</v>
      </c>
      <c r="J539" s="181" t="s">
        <v>1105</v>
      </c>
    </row>
    <row r="540" spans="1:10" ht="15" thickBot="1">
      <c r="A540" s="183">
        <v>452</v>
      </c>
      <c r="B540" s="182" t="s">
        <v>1821</v>
      </c>
      <c r="C540" s="326" t="s">
        <v>2117</v>
      </c>
      <c r="D540" s="190" t="s">
        <v>1823</v>
      </c>
      <c r="E540" s="189" t="s">
        <v>1824</v>
      </c>
      <c r="F540" s="177" t="s">
        <v>1819</v>
      </c>
      <c r="G540" s="177" t="s">
        <v>1932</v>
      </c>
      <c r="H540" s="174" t="s">
        <v>1735</v>
      </c>
      <c r="I540" s="197" t="s">
        <v>1944</v>
      </c>
      <c r="J540" s="181" t="s">
        <v>1105</v>
      </c>
    </row>
    <row r="541" spans="1:10">
      <c r="A541" s="161"/>
      <c r="B541" s="181"/>
      <c r="C541" s="181"/>
      <c r="D541" s="181"/>
      <c r="E541" s="181"/>
      <c r="F541" s="181"/>
      <c r="G541" s="181"/>
      <c r="I541" s="275"/>
      <c r="J541" s="181"/>
    </row>
    <row r="542" spans="1:10">
      <c r="A542" s="199">
        <v>453</v>
      </c>
      <c r="B542" s="240" t="s">
        <v>2118</v>
      </c>
      <c r="C542" s="315" t="s">
        <v>2119</v>
      </c>
      <c r="D542" s="241" t="s">
        <v>2120</v>
      </c>
      <c r="E542" s="242" t="s">
        <v>2121</v>
      </c>
      <c r="F542" s="243" t="s">
        <v>2122</v>
      </c>
      <c r="G542" s="244" t="s">
        <v>2123</v>
      </c>
      <c r="H542" s="245" t="s">
        <v>1735</v>
      </c>
      <c r="I542" s="246" t="s">
        <v>2124</v>
      </c>
      <c r="J542" s="181" t="s">
        <v>1105</v>
      </c>
    </row>
    <row r="543" spans="1:10">
      <c r="A543" s="199">
        <v>454</v>
      </c>
      <c r="B543" s="240" t="s">
        <v>2125</v>
      </c>
      <c r="C543" s="315" t="s">
        <v>2126</v>
      </c>
      <c r="D543" s="241" t="s">
        <v>2127</v>
      </c>
      <c r="E543" s="247" t="s">
        <v>2128</v>
      </c>
      <c r="F543" s="243" t="s">
        <v>2122</v>
      </c>
      <c r="G543" s="244" t="s">
        <v>2123</v>
      </c>
      <c r="H543" s="245" t="s">
        <v>1735</v>
      </c>
      <c r="I543" s="246" t="s">
        <v>2124</v>
      </c>
      <c r="J543" s="181" t="s">
        <v>1105</v>
      </c>
    </row>
    <row r="544" spans="1:10">
      <c r="A544" s="199">
        <v>455</v>
      </c>
      <c r="B544" s="240" t="s">
        <v>2129</v>
      </c>
      <c r="C544" s="315" t="s">
        <v>2130</v>
      </c>
      <c r="D544" s="241" t="s">
        <v>2131</v>
      </c>
      <c r="E544" s="242" t="s">
        <v>2132</v>
      </c>
      <c r="F544" s="243" t="s">
        <v>2122</v>
      </c>
      <c r="G544" s="244" t="s">
        <v>2123</v>
      </c>
      <c r="H544" s="245" t="s">
        <v>1735</v>
      </c>
      <c r="I544" s="246" t="s">
        <v>2124</v>
      </c>
      <c r="J544" s="181" t="s">
        <v>1105</v>
      </c>
    </row>
    <row r="545" spans="1:10">
      <c r="A545" s="199">
        <v>456</v>
      </c>
      <c r="B545" s="240" t="s">
        <v>2133</v>
      </c>
      <c r="C545" s="315" t="s">
        <v>2134</v>
      </c>
      <c r="D545" s="241" t="s">
        <v>2135</v>
      </c>
      <c r="E545" s="247" t="s">
        <v>2136</v>
      </c>
      <c r="F545" s="243" t="s">
        <v>2122</v>
      </c>
      <c r="G545" s="244" t="s">
        <v>2123</v>
      </c>
      <c r="H545" s="245" t="s">
        <v>1735</v>
      </c>
      <c r="I545" s="246" t="s">
        <v>2124</v>
      </c>
      <c r="J545" s="181" t="s">
        <v>1105</v>
      </c>
    </row>
    <row r="546" spans="1:10">
      <c r="A546" s="199">
        <v>457</v>
      </c>
      <c r="B546" s="240" t="s">
        <v>2137</v>
      </c>
      <c r="C546" s="315" t="s">
        <v>2138</v>
      </c>
      <c r="D546" s="241" t="s">
        <v>2139</v>
      </c>
      <c r="E546" s="242" t="s">
        <v>2140</v>
      </c>
      <c r="F546" s="243" t="s">
        <v>2122</v>
      </c>
      <c r="G546" s="244" t="s">
        <v>2123</v>
      </c>
      <c r="H546" s="245" t="s">
        <v>1735</v>
      </c>
      <c r="I546" s="246" t="s">
        <v>2124</v>
      </c>
      <c r="J546" s="181" t="s">
        <v>1105</v>
      </c>
    </row>
    <row r="547" spans="1:10">
      <c r="A547" s="199">
        <v>458</v>
      </c>
      <c r="B547" s="240" t="s">
        <v>2141</v>
      </c>
      <c r="C547" s="315" t="s">
        <v>2142</v>
      </c>
      <c r="D547" s="241" t="s">
        <v>2143</v>
      </c>
      <c r="E547" s="247" t="s">
        <v>2144</v>
      </c>
      <c r="F547" s="243" t="s">
        <v>2122</v>
      </c>
      <c r="G547" s="244" t="s">
        <v>2123</v>
      </c>
      <c r="H547" s="245" t="s">
        <v>1735</v>
      </c>
      <c r="I547" s="246" t="s">
        <v>2124</v>
      </c>
      <c r="J547" s="181" t="s">
        <v>1105</v>
      </c>
    </row>
    <row r="548" spans="1:10">
      <c r="A548" s="199">
        <v>459</v>
      </c>
      <c r="B548" s="240" t="s">
        <v>2145</v>
      </c>
      <c r="C548" s="315" t="s">
        <v>2146</v>
      </c>
      <c r="D548" s="241" t="s">
        <v>2147</v>
      </c>
      <c r="E548" s="242" t="s">
        <v>2148</v>
      </c>
      <c r="F548" s="243" t="s">
        <v>2122</v>
      </c>
      <c r="G548" s="244" t="s">
        <v>2123</v>
      </c>
      <c r="H548" s="245" t="s">
        <v>1735</v>
      </c>
      <c r="I548" s="246" t="s">
        <v>2124</v>
      </c>
      <c r="J548" s="181" t="s">
        <v>1105</v>
      </c>
    </row>
    <row r="549" spans="1:10">
      <c r="A549" s="199">
        <v>460</v>
      </c>
      <c r="B549" s="240" t="s">
        <v>2149</v>
      </c>
      <c r="C549" s="315" t="s">
        <v>2150</v>
      </c>
      <c r="D549" s="241" t="s">
        <v>2151</v>
      </c>
      <c r="E549" s="247" t="s">
        <v>2152</v>
      </c>
      <c r="F549" s="243" t="s">
        <v>2122</v>
      </c>
      <c r="G549" s="244" t="s">
        <v>2123</v>
      </c>
      <c r="H549" s="245" t="s">
        <v>1735</v>
      </c>
      <c r="I549" s="246" t="s">
        <v>2124</v>
      </c>
      <c r="J549" s="181" t="s">
        <v>1105</v>
      </c>
    </row>
    <row r="550" spans="1:10">
      <c r="A550" s="199">
        <v>461</v>
      </c>
      <c r="B550" s="240" t="s">
        <v>2153</v>
      </c>
      <c r="C550" s="315" t="s">
        <v>2154</v>
      </c>
      <c r="D550" s="241" t="s">
        <v>2155</v>
      </c>
      <c r="E550" s="242" t="s">
        <v>2156</v>
      </c>
      <c r="F550" s="243" t="s">
        <v>2122</v>
      </c>
      <c r="G550" s="244" t="s">
        <v>2123</v>
      </c>
      <c r="H550" s="245" t="s">
        <v>1735</v>
      </c>
      <c r="I550" s="246" t="s">
        <v>2124</v>
      </c>
      <c r="J550" s="181" t="s">
        <v>1105</v>
      </c>
    </row>
    <row r="551" spans="1:10">
      <c r="A551" s="199">
        <v>462</v>
      </c>
      <c r="B551" s="240" t="s">
        <v>2157</v>
      </c>
      <c r="C551" s="315" t="s">
        <v>2158</v>
      </c>
      <c r="D551" s="241" t="s">
        <v>2159</v>
      </c>
      <c r="E551" s="247" t="s">
        <v>2160</v>
      </c>
      <c r="F551" s="243" t="s">
        <v>2122</v>
      </c>
      <c r="G551" s="244" t="s">
        <v>2123</v>
      </c>
      <c r="H551" s="245" t="s">
        <v>1735</v>
      </c>
      <c r="I551" s="246" t="s">
        <v>2124</v>
      </c>
      <c r="J551" s="181" t="s">
        <v>1105</v>
      </c>
    </row>
    <row r="552" spans="1:10">
      <c r="A552" s="199">
        <v>463</v>
      </c>
      <c r="B552" s="240" t="s">
        <v>2161</v>
      </c>
      <c r="C552" s="315" t="s">
        <v>2162</v>
      </c>
      <c r="D552" s="241" t="s">
        <v>2163</v>
      </c>
      <c r="E552" s="242" t="s">
        <v>2164</v>
      </c>
      <c r="F552" s="243" t="s">
        <v>2122</v>
      </c>
      <c r="G552" s="244" t="s">
        <v>2123</v>
      </c>
      <c r="H552" s="245" t="s">
        <v>1735</v>
      </c>
      <c r="I552" s="246" t="s">
        <v>2124</v>
      </c>
      <c r="J552" s="181" t="s">
        <v>1105</v>
      </c>
    </row>
    <row r="553" spans="1:10">
      <c r="A553" s="199">
        <v>464</v>
      </c>
      <c r="B553" s="240" t="s">
        <v>2165</v>
      </c>
      <c r="C553" s="315" t="s">
        <v>2166</v>
      </c>
      <c r="D553" s="241" t="s">
        <v>2167</v>
      </c>
      <c r="E553" s="247" t="s">
        <v>2168</v>
      </c>
      <c r="F553" s="243" t="s">
        <v>2122</v>
      </c>
      <c r="G553" s="244" t="s">
        <v>2123</v>
      </c>
      <c r="H553" s="245" t="s">
        <v>1735</v>
      </c>
      <c r="I553" s="246" t="s">
        <v>2124</v>
      </c>
      <c r="J553" s="181" t="s">
        <v>1105</v>
      </c>
    </row>
    <row r="554" spans="1:10">
      <c r="A554" s="199">
        <v>465</v>
      </c>
      <c r="B554" s="240" t="s">
        <v>2169</v>
      </c>
      <c r="C554" s="315" t="s">
        <v>2170</v>
      </c>
      <c r="D554" s="241" t="s">
        <v>2171</v>
      </c>
      <c r="E554" s="242" t="s">
        <v>2172</v>
      </c>
      <c r="F554" s="243" t="s">
        <v>2122</v>
      </c>
      <c r="G554" s="244" t="s">
        <v>2123</v>
      </c>
      <c r="H554" s="245" t="s">
        <v>1735</v>
      </c>
      <c r="I554" s="246" t="s">
        <v>2124</v>
      </c>
      <c r="J554" s="181" t="s">
        <v>1105</v>
      </c>
    </row>
    <row r="555" spans="1:10">
      <c r="A555" s="199">
        <v>466</v>
      </c>
      <c r="B555" s="240" t="s">
        <v>2173</v>
      </c>
      <c r="C555" s="315" t="s">
        <v>2174</v>
      </c>
      <c r="D555" s="241" t="s">
        <v>2175</v>
      </c>
      <c r="E555" s="247" t="s">
        <v>2176</v>
      </c>
      <c r="F555" s="243" t="s">
        <v>2122</v>
      </c>
      <c r="G555" s="244" t="s">
        <v>2123</v>
      </c>
      <c r="H555" s="245" t="s">
        <v>1735</v>
      </c>
      <c r="I555" s="246" t="s">
        <v>2124</v>
      </c>
      <c r="J555" s="181" t="s">
        <v>1105</v>
      </c>
    </row>
    <row r="556" spans="1:10">
      <c r="A556" s="199">
        <v>467</v>
      </c>
      <c r="B556" s="207" t="s">
        <v>12</v>
      </c>
      <c r="C556" s="328" t="s">
        <v>2177</v>
      </c>
      <c r="D556" s="208" t="s">
        <v>2178</v>
      </c>
      <c r="E556" s="209">
        <v>15326308786</v>
      </c>
      <c r="F556" s="210" t="s">
        <v>2179</v>
      </c>
      <c r="G556" s="210" t="s">
        <v>2180</v>
      </c>
      <c r="H556" s="211" t="s">
        <v>1844</v>
      </c>
      <c r="I556" s="212" t="s">
        <v>2181</v>
      </c>
      <c r="J556" s="181" t="s">
        <v>1105</v>
      </c>
    </row>
    <row r="557" spans="1:10">
      <c r="A557" s="199">
        <v>468</v>
      </c>
      <c r="B557" s="207" t="s">
        <v>2182</v>
      </c>
      <c r="C557" s="328" t="s">
        <v>2183</v>
      </c>
      <c r="D557" s="208" t="s">
        <v>2184</v>
      </c>
      <c r="E557" s="209">
        <v>18946633302</v>
      </c>
      <c r="F557" s="210" t="s">
        <v>2179</v>
      </c>
      <c r="G557" s="210" t="s">
        <v>2180</v>
      </c>
      <c r="H557" s="211" t="s">
        <v>1844</v>
      </c>
      <c r="I557" s="212" t="s">
        <v>2181</v>
      </c>
      <c r="J557" s="181" t="s">
        <v>1105</v>
      </c>
    </row>
    <row r="558" spans="1:10">
      <c r="A558" s="199">
        <v>469</v>
      </c>
      <c r="B558" s="207" t="s">
        <v>2185</v>
      </c>
      <c r="C558" s="328" t="s">
        <v>2186</v>
      </c>
      <c r="D558" s="208" t="s">
        <v>2187</v>
      </c>
      <c r="E558" s="209">
        <v>13234447447</v>
      </c>
      <c r="F558" s="210" t="s">
        <v>2179</v>
      </c>
      <c r="G558" s="210" t="s">
        <v>2180</v>
      </c>
      <c r="H558" s="211" t="s">
        <v>1844</v>
      </c>
      <c r="I558" s="212" t="s">
        <v>2181</v>
      </c>
      <c r="J558" s="181" t="s">
        <v>1105</v>
      </c>
    </row>
    <row r="559" spans="1:10">
      <c r="A559" s="199">
        <v>470</v>
      </c>
      <c r="B559" s="220" t="s">
        <v>2188</v>
      </c>
      <c r="C559" s="329" t="s">
        <v>2189</v>
      </c>
      <c r="D559" s="330" t="s">
        <v>2190</v>
      </c>
      <c r="E559" s="236" t="s">
        <v>2191</v>
      </c>
      <c r="F559" s="229" t="s">
        <v>2179</v>
      </c>
      <c r="G559" s="229" t="s">
        <v>2180</v>
      </c>
      <c r="H559" s="237" t="s">
        <v>1844</v>
      </c>
      <c r="I559" s="212" t="s">
        <v>2181</v>
      </c>
      <c r="J559" s="181" t="s">
        <v>1157</v>
      </c>
    </row>
    <row r="560" spans="1:10">
      <c r="A560" s="199">
        <v>471</v>
      </c>
      <c r="B560" s="219" t="s">
        <v>2192</v>
      </c>
      <c r="C560" s="226" t="s">
        <v>2193</v>
      </c>
      <c r="D560" s="226" t="s">
        <v>2194</v>
      </c>
      <c r="E560" s="226">
        <v>13844639146</v>
      </c>
      <c r="F560" s="227" t="s">
        <v>2195</v>
      </c>
      <c r="G560" s="227" t="s">
        <v>2196</v>
      </c>
      <c r="H560" s="235" t="s">
        <v>1844</v>
      </c>
      <c r="I560" s="212" t="s">
        <v>2181</v>
      </c>
      <c r="J560" s="181" t="s">
        <v>1157</v>
      </c>
    </row>
    <row r="561" spans="1:10">
      <c r="A561" s="199">
        <v>472</v>
      </c>
      <c r="B561" s="220" t="s">
        <v>2197</v>
      </c>
      <c r="C561" s="331" t="s">
        <v>2198</v>
      </c>
      <c r="D561" s="221" t="s">
        <v>2199</v>
      </c>
      <c r="E561" s="228">
        <v>18771622500</v>
      </c>
      <c r="F561" s="229" t="s">
        <v>2195</v>
      </c>
      <c r="G561" s="229" t="s">
        <v>2196</v>
      </c>
      <c r="H561" s="222" t="s">
        <v>1844</v>
      </c>
      <c r="I561" s="212" t="s">
        <v>2181</v>
      </c>
      <c r="J561" s="181" t="s">
        <v>1105</v>
      </c>
    </row>
    <row r="562" spans="1:10">
      <c r="A562" s="199">
        <v>473</v>
      </c>
      <c r="B562" s="223" t="s">
        <v>2200</v>
      </c>
      <c r="C562" s="230" t="s">
        <v>2201</v>
      </c>
      <c r="D562" s="231" t="s">
        <v>2202</v>
      </c>
      <c r="E562" s="230">
        <v>15839151303</v>
      </c>
      <c r="F562" s="227" t="s">
        <v>2195</v>
      </c>
      <c r="G562" s="227" t="s">
        <v>2196</v>
      </c>
      <c r="H562" s="235" t="s">
        <v>1844</v>
      </c>
      <c r="I562" s="212" t="s">
        <v>2181</v>
      </c>
      <c r="J562" s="181" t="s">
        <v>1157</v>
      </c>
    </row>
    <row r="563" spans="1:10">
      <c r="A563" s="199">
        <v>474</v>
      </c>
      <c r="B563" s="220" t="s">
        <v>2203</v>
      </c>
      <c r="C563" s="331" t="s">
        <v>2204</v>
      </c>
      <c r="D563" s="221" t="s">
        <v>2205</v>
      </c>
      <c r="E563" s="228">
        <v>18638185835</v>
      </c>
      <c r="F563" s="229" t="s">
        <v>2195</v>
      </c>
      <c r="G563" s="229" t="s">
        <v>2196</v>
      </c>
      <c r="H563" s="222" t="s">
        <v>1844</v>
      </c>
      <c r="I563" s="212" t="s">
        <v>2181</v>
      </c>
      <c r="J563" s="181" t="s">
        <v>1157</v>
      </c>
    </row>
    <row r="564" spans="1:10">
      <c r="A564" s="199">
        <v>475</v>
      </c>
      <c r="B564" s="220" t="s">
        <v>2206</v>
      </c>
      <c r="C564" s="331" t="s">
        <v>2207</v>
      </c>
      <c r="D564" s="221" t="s">
        <v>2208</v>
      </c>
      <c r="E564" s="232">
        <v>19168204817</v>
      </c>
      <c r="F564" s="229" t="s">
        <v>2195</v>
      </c>
      <c r="G564" s="229" t="s">
        <v>2196</v>
      </c>
      <c r="H564" s="222" t="s">
        <v>1844</v>
      </c>
      <c r="I564" s="212" t="s">
        <v>2181</v>
      </c>
      <c r="J564" s="181" t="s">
        <v>1157</v>
      </c>
    </row>
    <row r="565" spans="1:10">
      <c r="A565" s="199">
        <v>476</v>
      </c>
      <c r="B565" s="220" t="s">
        <v>2209</v>
      </c>
      <c r="C565" s="331" t="s">
        <v>2210</v>
      </c>
      <c r="D565" s="224" t="s">
        <v>2211</v>
      </c>
      <c r="E565" s="228">
        <v>13082346550</v>
      </c>
      <c r="F565" s="229" t="s">
        <v>2195</v>
      </c>
      <c r="G565" s="229" t="s">
        <v>2196</v>
      </c>
      <c r="H565" s="222" t="s">
        <v>1844</v>
      </c>
      <c r="I565" s="212" t="s">
        <v>2181</v>
      </c>
      <c r="J565" s="181" t="s">
        <v>1157</v>
      </c>
    </row>
    <row r="566" spans="1:10">
      <c r="A566" s="199">
        <v>477</v>
      </c>
      <c r="B566" s="220" t="s">
        <v>2212</v>
      </c>
      <c r="C566" s="331" t="s">
        <v>2213</v>
      </c>
      <c r="D566" s="221" t="s">
        <v>2214</v>
      </c>
      <c r="E566" s="232">
        <v>18538984139</v>
      </c>
      <c r="F566" s="229" t="s">
        <v>2195</v>
      </c>
      <c r="G566" s="229" t="s">
        <v>2196</v>
      </c>
      <c r="H566" s="222" t="s">
        <v>1844</v>
      </c>
      <c r="I566" s="212" t="s">
        <v>2181</v>
      </c>
      <c r="J566" s="181" t="s">
        <v>1157</v>
      </c>
    </row>
    <row r="567" spans="1:10">
      <c r="A567" s="199">
        <v>478</v>
      </c>
      <c r="B567" s="220" t="s">
        <v>2215</v>
      </c>
      <c r="C567" s="331" t="s">
        <v>2216</v>
      </c>
      <c r="D567" s="221" t="s">
        <v>2217</v>
      </c>
      <c r="E567" s="228">
        <v>15617251120</v>
      </c>
      <c r="F567" s="229" t="s">
        <v>2195</v>
      </c>
      <c r="G567" s="229" t="s">
        <v>2196</v>
      </c>
      <c r="H567" s="222" t="s">
        <v>1844</v>
      </c>
      <c r="I567" s="212" t="s">
        <v>2181</v>
      </c>
      <c r="J567" s="181" t="s">
        <v>1157</v>
      </c>
    </row>
    <row r="568" spans="1:10">
      <c r="A568" s="199">
        <v>479</v>
      </c>
      <c r="B568" s="225" t="s">
        <v>2218</v>
      </c>
      <c r="C568" s="233" t="s">
        <v>2219</v>
      </c>
      <c r="D568" s="234" t="s">
        <v>2220</v>
      </c>
      <c r="E568" s="233">
        <v>15839104108</v>
      </c>
      <c r="F568" s="227" t="s">
        <v>2195</v>
      </c>
      <c r="G568" s="227" t="s">
        <v>2196</v>
      </c>
      <c r="H568" s="235" t="s">
        <v>1844</v>
      </c>
      <c r="I568" s="212" t="s">
        <v>2181</v>
      </c>
      <c r="J568" s="181" t="s">
        <v>1157</v>
      </c>
    </row>
    <row r="569" spans="1:10">
      <c r="A569" s="199">
        <v>480</v>
      </c>
      <c r="B569" s="225" t="s">
        <v>2221</v>
      </c>
      <c r="C569" s="233" t="s">
        <v>2222</v>
      </c>
      <c r="D569" s="234" t="s">
        <v>2223</v>
      </c>
      <c r="E569" s="233">
        <v>18238314726</v>
      </c>
      <c r="F569" s="227" t="s">
        <v>2195</v>
      </c>
      <c r="G569" s="227" t="s">
        <v>2196</v>
      </c>
      <c r="H569" s="235" t="s">
        <v>1844</v>
      </c>
      <c r="I569" s="212" t="s">
        <v>2181</v>
      </c>
      <c r="J569" s="181" t="s">
        <v>1157</v>
      </c>
    </row>
    <row r="570" spans="1:10">
      <c r="A570" s="199">
        <v>481</v>
      </c>
      <c r="B570" s="213" t="s">
        <v>2224</v>
      </c>
      <c r="C570" s="332" t="s">
        <v>2225</v>
      </c>
      <c r="D570" s="214" t="s">
        <v>2226</v>
      </c>
      <c r="E570" s="215" t="s">
        <v>2227</v>
      </c>
      <c r="F570" s="216" t="s">
        <v>1819</v>
      </c>
      <c r="G570" s="216" t="s">
        <v>1932</v>
      </c>
      <c r="H570" s="217" t="s">
        <v>1844</v>
      </c>
      <c r="I570" s="218" t="s">
        <v>2228</v>
      </c>
      <c r="J570" s="181" t="s">
        <v>1157</v>
      </c>
    </row>
    <row r="571" spans="1:10">
      <c r="A571" s="199">
        <v>482</v>
      </c>
      <c r="B571" s="213" t="s">
        <v>2229</v>
      </c>
      <c r="C571" s="332" t="s">
        <v>2230</v>
      </c>
      <c r="D571" s="214" t="s">
        <v>2231</v>
      </c>
      <c r="E571" s="215" t="s">
        <v>2232</v>
      </c>
      <c r="F571" s="216" t="s">
        <v>2233</v>
      </c>
      <c r="G571" s="216" t="s">
        <v>2234</v>
      </c>
      <c r="H571" s="217" t="s">
        <v>1844</v>
      </c>
      <c r="I571" s="218" t="s">
        <v>2228</v>
      </c>
      <c r="J571" s="181" t="s">
        <v>1105</v>
      </c>
    </row>
    <row r="572" spans="1:10">
      <c r="A572" s="199">
        <v>483</v>
      </c>
      <c r="B572" s="213" t="s">
        <v>2235</v>
      </c>
      <c r="C572" s="332" t="s">
        <v>2236</v>
      </c>
      <c r="D572" s="214" t="s">
        <v>2237</v>
      </c>
      <c r="E572" s="215" t="s">
        <v>2238</v>
      </c>
      <c r="F572" s="216" t="s">
        <v>2233</v>
      </c>
      <c r="G572" s="216" t="s">
        <v>2234</v>
      </c>
      <c r="H572" s="217" t="s">
        <v>1844</v>
      </c>
      <c r="I572" s="218" t="s">
        <v>2228</v>
      </c>
      <c r="J572" s="181" t="s">
        <v>1105</v>
      </c>
    </row>
    <row r="573" spans="1:10">
      <c r="A573" s="199">
        <v>484</v>
      </c>
      <c r="B573" s="213" t="s">
        <v>2239</v>
      </c>
      <c r="C573" s="332" t="s">
        <v>2240</v>
      </c>
      <c r="D573" s="214" t="s">
        <v>2241</v>
      </c>
      <c r="E573" s="215" t="s">
        <v>2242</v>
      </c>
      <c r="F573" s="216" t="s">
        <v>2233</v>
      </c>
      <c r="G573" s="216" t="s">
        <v>2234</v>
      </c>
      <c r="H573" s="217" t="s">
        <v>1844</v>
      </c>
      <c r="I573" s="218" t="s">
        <v>2228</v>
      </c>
      <c r="J573" s="181" t="s">
        <v>1105</v>
      </c>
    </row>
    <row r="574" spans="1:10">
      <c r="A574" s="199">
        <v>485</v>
      </c>
      <c r="B574" s="213" t="s">
        <v>2243</v>
      </c>
      <c r="C574" s="332" t="s">
        <v>2244</v>
      </c>
      <c r="D574" s="214" t="s">
        <v>2245</v>
      </c>
      <c r="E574" s="215" t="s">
        <v>2246</v>
      </c>
      <c r="F574" s="216" t="s">
        <v>2233</v>
      </c>
      <c r="G574" s="216" t="s">
        <v>2234</v>
      </c>
      <c r="H574" s="217" t="s">
        <v>1844</v>
      </c>
      <c r="I574" s="218" t="s">
        <v>2228</v>
      </c>
      <c r="J574" s="181" t="s">
        <v>1105</v>
      </c>
    </row>
    <row r="575" spans="1:10">
      <c r="A575" s="199">
        <v>486</v>
      </c>
      <c r="B575" s="213" t="s">
        <v>2247</v>
      </c>
      <c r="C575" s="332" t="s">
        <v>2248</v>
      </c>
      <c r="D575" s="214" t="s">
        <v>2249</v>
      </c>
      <c r="E575" s="215" t="s">
        <v>2250</v>
      </c>
      <c r="F575" s="216" t="s">
        <v>2233</v>
      </c>
      <c r="G575" s="216" t="s">
        <v>2234</v>
      </c>
      <c r="H575" s="217" t="s">
        <v>1844</v>
      </c>
      <c r="I575" s="218" t="s">
        <v>2228</v>
      </c>
      <c r="J575" s="181" t="s">
        <v>1105</v>
      </c>
    </row>
    <row r="576" spans="1:10">
      <c r="A576" s="199">
        <v>487</v>
      </c>
      <c r="B576" s="213" t="s">
        <v>2251</v>
      </c>
      <c r="C576" s="332" t="s">
        <v>2252</v>
      </c>
      <c r="D576" s="214" t="s">
        <v>2253</v>
      </c>
      <c r="E576" s="215" t="s">
        <v>2254</v>
      </c>
      <c r="F576" s="216" t="s">
        <v>2233</v>
      </c>
      <c r="G576" s="216" t="s">
        <v>2234</v>
      </c>
      <c r="H576" s="217" t="s">
        <v>1844</v>
      </c>
      <c r="I576" s="218" t="s">
        <v>2228</v>
      </c>
      <c r="J576" s="181" t="s">
        <v>1157</v>
      </c>
    </row>
    <row r="577" spans="1:11">
      <c r="A577" s="199">
        <v>488</v>
      </c>
      <c r="B577" s="213" t="s">
        <v>2255</v>
      </c>
      <c r="C577" s="332" t="s">
        <v>2256</v>
      </c>
      <c r="D577" s="214" t="s">
        <v>2257</v>
      </c>
      <c r="E577" s="215" t="s">
        <v>2258</v>
      </c>
      <c r="F577" s="216" t="s">
        <v>2233</v>
      </c>
      <c r="G577" s="216" t="s">
        <v>2234</v>
      </c>
      <c r="H577" s="217" t="s">
        <v>1844</v>
      </c>
      <c r="I577" s="218" t="s">
        <v>2228</v>
      </c>
      <c r="J577" s="181" t="s">
        <v>1157</v>
      </c>
      <c r="K577" s="181"/>
    </row>
    <row r="578" spans="1:11">
      <c r="A578" s="199">
        <v>489</v>
      </c>
      <c r="B578" s="213" t="s">
        <v>2259</v>
      </c>
      <c r="C578" s="332" t="s">
        <v>2260</v>
      </c>
      <c r="D578" s="214" t="s">
        <v>2261</v>
      </c>
      <c r="E578" s="215" t="s">
        <v>2262</v>
      </c>
      <c r="F578" s="216" t="s">
        <v>2263</v>
      </c>
      <c r="G578" s="216" t="s">
        <v>2264</v>
      </c>
      <c r="H578" s="217" t="s">
        <v>1844</v>
      </c>
      <c r="I578" s="218" t="s">
        <v>2228</v>
      </c>
      <c r="J578" s="181" t="s">
        <v>1105</v>
      </c>
      <c r="K578" s="181"/>
    </row>
    <row r="579" spans="1:11">
      <c r="A579" s="199">
        <v>490</v>
      </c>
      <c r="B579" s="213" t="s">
        <v>2265</v>
      </c>
      <c r="C579" s="332" t="s">
        <v>2266</v>
      </c>
      <c r="D579" s="214" t="s">
        <v>2267</v>
      </c>
      <c r="E579" s="215" t="s">
        <v>2268</v>
      </c>
      <c r="F579" s="216" t="s">
        <v>2263</v>
      </c>
      <c r="G579" s="216" t="s">
        <v>2264</v>
      </c>
      <c r="H579" s="217" t="s">
        <v>1844</v>
      </c>
      <c r="I579" s="218" t="s">
        <v>2228</v>
      </c>
      <c r="J579" s="181" t="s">
        <v>1105</v>
      </c>
      <c r="K579" s="181"/>
    </row>
    <row r="580" spans="1:11">
      <c r="A580" s="199">
        <v>491</v>
      </c>
      <c r="B580" s="213" t="s">
        <v>2269</v>
      </c>
      <c r="C580" s="332" t="s">
        <v>2270</v>
      </c>
      <c r="D580" s="214" t="s">
        <v>2271</v>
      </c>
      <c r="E580" s="215" t="s">
        <v>2272</v>
      </c>
      <c r="F580" s="216" t="s">
        <v>560</v>
      </c>
      <c r="G580" s="216" t="s">
        <v>2273</v>
      </c>
      <c r="H580" s="217" t="s">
        <v>1844</v>
      </c>
      <c r="I580" s="218" t="s">
        <v>2228</v>
      </c>
      <c r="J580" s="181" t="s">
        <v>1157</v>
      </c>
      <c r="K580" s="181"/>
    </row>
    <row r="581" spans="1:11">
      <c r="A581" s="199">
        <v>492</v>
      </c>
      <c r="B581" s="213" t="s">
        <v>2274</v>
      </c>
      <c r="C581" s="332" t="s">
        <v>2275</v>
      </c>
      <c r="D581" s="214" t="s">
        <v>2276</v>
      </c>
      <c r="E581" s="215" t="s">
        <v>2277</v>
      </c>
      <c r="F581" s="216" t="s">
        <v>560</v>
      </c>
      <c r="G581" s="216" t="s">
        <v>2273</v>
      </c>
      <c r="H581" s="217" t="s">
        <v>1844</v>
      </c>
      <c r="I581" s="218" t="s">
        <v>2228</v>
      </c>
      <c r="J581" s="181" t="s">
        <v>1157</v>
      </c>
      <c r="K581" s="181"/>
    </row>
    <row r="582" spans="1:11">
      <c r="A582" s="199">
        <v>493</v>
      </c>
      <c r="B582" s="213" t="s">
        <v>2278</v>
      </c>
      <c r="C582" s="332" t="s">
        <v>2279</v>
      </c>
      <c r="D582" s="214" t="s">
        <v>2280</v>
      </c>
      <c r="E582" s="215" t="s">
        <v>2281</v>
      </c>
      <c r="F582" s="216" t="s">
        <v>2282</v>
      </c>
      <c r="G582" s="216" t="s">
        <v>2283</v>
      </c>
      <c r="H582" s="217" t="s">
        <v>1844</v>
      </c>
      <c r="I582" s="218" t="s">
        <v>2228</v>
      </c>
      <c r="J582" s="181" t="s">
        <v>1157</v>
      </c>
      <c r="K582" s="181"/>
    </row>
    <row r="583" spans="1:11">
      <c r="A583" s="248">
        <v>494</v>
      </c>
      <c r="B583" s="201" t="s">
        <v>2284</v>
      </c>
      <c r="C583" s="333" t="s">
        <v>2285</v>
      </c>
      <c r="D583" s="202" t="s">
        <v>2286</v>
      </c>
      <c r="E583" s="203" t="s">
        <v>2287</v>
      </c>
      <c r="F583" s="204" t="s">
        <v>775</v>
      </c>
      <c r="G583" s="204" t="s">
        <v>1834</v>
      </c>
      <c r="H583" s="205" t="s">
        <v>2288</v>
      </c>
      <c r="I583" s="206" t="s">
        <v>2289</v>
      </c>
      <c r="J583" s="181">
        <v>1</v>
      </c>
      <c r="K583" s="588" t="s">
        <v>2290</v>
      </c>
    </row>
    <row r="584" spans="1:11">
      <c r="A584" s="248">
        <v>495</v>
      </c>
      <c r="B584" s="201" t="s">
        <v>2291</v>
      </c>
      <c r="C584" s="333" t="s">
        <v>2292</v>
      </c>
      <c r="D584" s="202" t="s">
        <v>2293</v>
      </c>
      <c r="E584" s="203" t="s">
        <v>2294</v>
      </c>
      <c r="F584" s="204" t="s">
        <v>775</v>
      </c>
      <c r="G584" s="204" t="s">
        <v>1834</v>
      </c>
      <c r="H584" s="205" t="s">
        <v>2288</v>
      </c>
      <c r="I584" s="206" t="s">
        <v>2289</v>
      </c>
      <c r="J584" s="181">
        <v>2</v>
      </c>
      <c r="K584" s="589"/>
    </row>
    <row r="585" spans="1:11">
      <c r="A585" s="248">
        <v>496</v>
      </c>
      <c r="B585" s="201" t="s">
        <v>2295</v>
      </c>
      <c r="C585" s="333" t="s">
        <v>2296</v>
      </c>
      <c r="D585" s="202" t="s">
        <v>2297</v>
      </c>
      <c r="E585" s="203" t="s">
        <v>2298</v>
      </c>
      <c r="F585" s="204" t="s">
        <v>775</v>
      </c>
      <c r="G585" s="204" t="s">
        <v>1834</v>
      </c>
      <c r="H585" s="205" t="s">
        <v>2288</v>
      </c>
      <c r="I585" s="206" t="s">
        <v>2289</v>
      </c>
      <c r="J585" s="181">
        <v>3</v>
      </c>
      <c r="K585" s="589"/>
    </row>
    <row r="586" spans="1:11">
      <c r="A586" s="248">
        <v>497</v>
      </c>
      <c r="B586" s="201" t="s">
        <v>2299</v>
      </c>
      <c r="C586" s="333" t="s">
        <v>2300</v>
      </c>
      <c r="D586" s="202" t="s">
        <v>2301</v>
      </c>
      <c r="E586" s="203" t="s">
        <v>2302</v>
      </c>
      <c r="F586" s="204" t="s">
        <v>775</v>
      </c>
      <c r="G586" s="204" t="s">
        <v>1834</v>
      </c>
      <c r="H586" s="205" t="s">
        <v>2288</v>
      </c>
      <c r="I586" s="206" t="s">
        <v>2289</v>
      </c>
      <c r="J586" s="181">
        <v>4</v>
      </c>
      <c r="K586" s="589"/>
    </row>
    <row r="587" spans="1:11">
      <c r="A587" s="248">
        <v>498</v>
      </c>
      <c r="B587" s="201" t="s">
        <v>2303</v>
      </c>
      <c r="C587" s="333" t="s">
        <v>2304</v>
      </c>
      <c r="D587" s="202" t="s">
        <v>2305</v>
      </c>
      <c r="E587" s="203" t="s">
        <v>2306</v>
      </c>
      <c r="F587" s="204" t="s">
        <v>775</v>
      </c>
      <c r="G587" s="204" t="s">
        <v>1834</v>
      </c>
      <c r="H587" s="205" t="s">
        <v>2288</v>
      </c>
      <c r="I587" s="206" t="s">
        <v>2289</v>
      </c>
      <c r="J587" s="181">
        <v>5</v>
      </c>
      <c r="K587" s="589"/>
    </row>
    <row r="588" spans="1:11" s="181" customFormat="1">
      <c r="A588" s="248">
        <v>499</v>
      </c>
      <c r="B588" s="201" t="s">
        <v>2307</v>
      </c>
      <c r="C588" s="333" t="s">
        <v>2308</v>
      </c>
      <c r="D588" s="202" t="s">
        <v>2309</v>
      </c>
      <c r="E588" s="203">
        <v>18343108513</v>
      </c>
      <c r="F588" s="204" t="s">
        <v>775</v>
      </c>
      <c r="G588" s="204" t="s">
        <v>1834</v>
      </c>
      <c r="H588" s="205" t="s">
        <v>2310</v>
      </c>
      <c r="I588" s="206" t="s">
        <v>2289</v>
      </c>
      <c r="J588" s="181">
        <v>6</v>
      </c>
      <c r="K588" s="589"/>
    </row>
    <row r="589" spans="1:11" s="181" customFormat="1">
      <c r="A589" s="248">
        <v>500</v>
      </c>
      <c r="B589" s="201" t="s">
        <v>2311</v>
      </c>
      <c r="C589" s="333" t="s">
        <v>2312</v>
      </c>
      <c r="D589" s="202" t="s">
        <v>2313</v>
      </c>
      <c r="E589" s="203">
        <v>13578755850</v>
      </c>
      <c r="F589" s="204" t="s">
        <v>775</v>
      </c>
      <c r="G589" s="204" t="s">
        <v>1834</v>
      </c>
      <c r="H589" s="205" t="s">
        <v>2310</v>
      </c>
      <c r="I589" s="206" t="s">
        <v>2289</v>
      </c>
      <c r="J589" s="181">
        <v>7</v>
      </c>
      <c r="K589" s="589"/>
    </row>
    <row r="590" spans="1:11" s="181" customFormat="1">
      <c r="A590" s="248">
        <v>501</v>
      </c>
      <c r="B590" s="201" t="s">
        <v>2314</v>
      </c>
      <c r="C590" s="333" t="s">
        <v>2315</v>
      </c>
      <c r="D590" s="202" t="s">
        <v>2316</v>
      </c>
      <c r="E590" s="203">
        <v>15567772402</v>
      </c>
      <c r="F590" s="204" t="s">
        <v>775</v>
      </c>
      <c r="G590" s="204" t="s">
        <v>1834</v>
      </c>
      <c r="H590" s="205" t="s">
        <v>2310</v>
      </c>
      <c r="I590" s="206" t="s">
        <v>2289</v>
      </c>
      <c r="J590" s="181">
        <v>8</v>
      </c>
      <c r="K590" s="589"/>
    </row>
    <row r="591" spans="1:11" s="181" customFormat="1">
      <c r="A591" s="248">
        <v>502</v>
      </c>
      <c r="B591" s="201" t="s">
        <v>2317</v>
      </c>
      <c r="C591" s="333" t="s">
        <v>2318</v>
      </c>
      <c r="D591" s="202" t="s">
        <v>2319</v>
      </c>
      <c r="E591" s="203">
        <v>17843114711</v>
      </c>
      <c r="F591" s="204" t="s">
        <v>775</v>
      </c>
      <c r="G591" s="204" t="s">
        <v>1834</v>
      </c>
      <c r="H591" s="205" t="s">
        <v>2310</v>
      </c>
      <c r="I591" s="206" t="s">
        <v>2289</v>
      </c>
      <c r="J591" s="181">
        <v>9</v>
      </c>
      <c r="K591" s="589"/>
    </row>
    <row r="592" spans="1:11" s="181" customFormat="1">
      <c r="A592" s="248">
        <v>503</v>
      </c>
      <c r="B592" s="201" t="s">
        <v>2320</v>
      </c>
      <c r="C592" s="333" t="s">
        <v>2321</v>
      </c>
      <c r="D592" s="202" t="s">
        <v>2322</v>
      </c>
      <c r="E592" s="203">
        <v>15774472353</v>
      </c>
      <c r="F592" s="204" t="s">
        <v>775</v>
      </c>
      <c r="G592" s="204" t="s">
        <v>1834</v>
      </c>
      <c r="H592" s="205" t="s">
        <v>2310</v>
      </c>
      <c r="I592" s="206" t="s">
        <v>2289</v>
      </c>
      <c r="J592" s="181">
        <v>10</v>
      </c>
      <c r="K592" s="589"/>
    </row>
    <row r="593" spans="1:11" s="181" customFormat="1">
      <c r="A593" s="248">
        <v>504</v>
      </c>
      <c r="B593" s="201" t="s">
        <v>2323</v>
      </c>
      <c r="C593" s="333" t="s">
        <v>2324</v>
      </c>
      <c r="D593" s="202" t="s">
        <v>2325</v>
      </c>
      <c r="E593" s="203">
        <v>18043034605</v>
      </c>
      <c r="F593" s="204" t="s">
        <v>775</v>
      </c>
      <c r="G593" s="204" t="s">
        <v>1834</v>
      </c>
      <c r="H593" s="205" t="s">
        <v>2310</v>
      </c>
      <c r="I593" s="206" t="s">
        <v>2289</v>
      </c>
      <c r="J593" s="181">
        <v>11</v>
      </c>
      <c r="K593" s="589"/>
    </row>
    <row r="594" spans="1:11" s="181" customFormat="1">
      <c r="A594" s="248">
        <v>505</v>
      </c>
      <c r="B594" s="201" t="s">
        <v>2326</v>
      </c>
      <c r="C594" s="333" t="s">
        <v>2327</v>
      </c>
      <c r="D594" s="202" t="s">
        <v>2328</v>
      </c>
      <c r="E594" s="203">
        <v>15021182373</v>
      </c>
      <c r="F594" s="204" t="s">
        <v>775</v>
      </c>
      <c r="G594" s="204" t="s">
        <v>1834</v>
      </c>
      <c r="H594" s="205" t="s">
        <v>2310</v>
      </c>
      <c r="I594" s="206" t="s">
        <v>2289</v>
      </c>
      <c r="J594" s="181">
        <v>12</v>
      </c>
      <c r="K594" s="589"/>
    </row>
    <row r="595" spans="1:11" s="181" customFormat="1">
      <c r="A595" s="248">
        <v>506</v>
      </c>
      <c r="B595" s="201" t="s">
        <v>2329</v>
      </c>
      <c r="C595" s="333" t="s">
        <v>2330</v>
      </c>
      <c r="D595" s="202" t="s">
        <v>2331</v>
      </c>
      <c r="E595" s="203">
        <v>15143095388</v>
      </c>
      <c r="F595" s="204" t="s">
        <v>775</v>
      </c>
      <c r="G595" s="204" t="s">
        <v>1834</v>
      </c>
      <c r="H595" s="205" t="s">
        <v>2310</v>
      </c>
      <c r="I595" s="206" t="s">
        <v>2289</v>
      </c>
      <c r="J595" s="181">
        <v>13</v>
      </c>
      <c r="K595" s="589"/>
    </row>
    <row r="596" spans="1:11">
      <c r="A596" s="199">
        <v>507</v>
      </c>
      <c r="B596" s="213" t="s">
        <v>2332</v>
      </c>
      <c r="C596" s="332" t="s">
        <v>2333</v>
      </c>
      <c r="D596" s="214" t="s">
        <v>2334</v>
      </c>
      <c r="E596" s="215">
        <v>17312689527</v>
      </c>
      <c r="F596" s="216" t="s">
        <v>2195</v>
      </c>
      <c r="G596" s="216" t="s">
        <v>2196</v>
      </c>
      <c r="H596" s="217" t="s">
        <v>1735</v>
      </c>
      <c r="I596" s="218" t="s">
        <v>2335</v>
      </c>
      <c r="J596" s="181" t="s">
        <v>1105</v>
      </c>
      <c r="K596" s="181"/>
    </row>
    <row r="597" spans="1:11">
      <c r="A597" s="199">
        <v>508</v>
      </c>
      <c r="B597" s="213" t="s">
        <v>2336</v>
      </c>
      <c r="C597" s="332" t="s">
        <v>2337</v>
      </c>
      <c r="D597" s="214" t="s">
        <v>2338</v>
      </c>
      <c r="E597" s="215">
        <v>15516637708</v>
      </c>
      <c r="F597" s="216" t="s">
        <v>2195</v>
      </c>
      <c r="G597" s="216" t="s">
        <v>2196</v>
      </c>
      <c r="H597" s="217" t="s">
        <v>1735</v>
      </c>
      <c r="I597" s="218" t="s">
        <v>2335</v>
      </c>
      <c r="J597" s="181" t="s">
        <v>1157</v>
      </c>
      <c r="K597" s="181"/>
    </row>
    <row r="598" spans="1:11">
      <c r="A598" s="199">
        <v>509</v>
      </c>
      <c r="B598" s="213" t="s">
        <v>2339</v>
      </c>
      <c r="C598" s="332" t="s">
        <v>2340</v>
      </c>
      <c r="D598" s="214" t="s">
        <v>2341</v>
      </c>
      <c r="E598" s="215">
        <v>17803933177</v>
      </c>
      <c r="F598" s="216" t="s">
        <v>2195</v>
      </c>
      <c r="G598" s="216" t="s">
        <v>2196</v>
      </c>
      <c r="H598" s="217" t="s">
        <v>1735</v>
      </c>
      <c r="I598" s="218" t="s">
        <v>2335</v>
      </c>
      <c r="J598" s="181" t="s">
        <v>1105</v>
      </c>
      <c r="K598" s="181"/>
    </row>
    <row r="599" spans="1:11">
      <c r="A599" s="199">
        <v>510</v>
      </c>
      <c r="B599" s="213" t="s">
        <v>2342</v>
      </c>
      <c r="C599" s="332" t="s">
        <v>2343</v>
      </c>
      <c r="D599" s="214" t="s">
        <v>2344</v>
      </c>
      <c r="E599" s="215">
        <v>15839388209</v>
      </c>
      <c r="F599" s="216" t="s">
        <v>2195</v>
      </c>
      <c r="G599" s="216" t="s">
        <v>2196</v>
      </c>
      <c r="H599" s="217" t="s">
        <v>1735</v>
      </c>
      <c r="I599" s="218" t="s">
        <v>2335</v>
      </c>
      <c r="J599" s="181" t="s">
        <v>1157</v>
      </c>
      <c r="K599" s="181"/>
    </row>
    <row r="600" spans="1:11">
      <c r="A600" s="199">
        <v>511</v>
      </c>
      <c r="B600" s="213" t="s">
        <v>2345</v>
      </c>
      <c r="C600" s="332" t="s">
        <v>2346</v>
      </c>
      <c r="D600" s="214" t="s">
        <v>2347</v>
      </c>
      <c r="E600" s="215">
        <v>18348446336</v>
      </c>
      <c r="F600" s="216" t="s">
        <v>2195</v>
      </c>
      <c r="G600" s="216" t="s">
        <v>2196</v>
      </c>
      <c r="H600" s="217" t="s">
        <v>1735</v>
      </c>
      <c r="I600" s="218" t="s">
        <v>2335</v>
      </c>
      <c r="J600" s="181" t="s">
        <v>1157</v>
      </c>
      <c r="K600" s="181"/>
    </row>
    <row r="601" spans="1:11">
      <c r="A601" s="199">
        <v>512</v>
      </c>
      <c r="B601" s="213" t="s">
        <v>2348</v>
      </c>
      <c r="C601" s="332" t="s">
        <v>2349</v>
      </c>
      <c r="D601" s="214" t="s">
        <v>2350</v>
      </c>
      <c r="E601" s="215">
        <v>15670528515</v>
      </c>
      <c r="F601" s="216" t="s">
        <v>2195</v>
      </c>
      <c r="G601" s="216" t="s">
        <v>2196</v>
      </c>
      <c r="H601" s="217" t="s">
        <v>1735</v>
      </c>
      <c r="I601" s="218" t="s">
        <v>2335</v>
      </c>
      <c r="J601" s="181" t="s">
        <v>1105</v>
      </c>
      <c r="K601" s="181"/>
    </row>
    <row r="602" spans="1:11">
      <c r="A602" s="199">
        <v>513</v>
      </c>
      <c r="B602" s="213" t="s">
        <v>2351</v>
      </c>
      <c r="C602" s="332" t="s">
        <v>2352</v>
      </c>
      <c r="D602" s="214" t="s">
        <v>2353</v>
      </c>
      <c r="E602" s="215">
        <v>17798060224</v>
      </c>
      <c r="F602" s="216" t="s">
        <v>2195</v>
      </c>
      <c r="G602" s="216" t="s">
        <v>2196</v>
      </c>
      <c r="H602" s="217" t="s">
        <v>1735</v>
      </c>
      <c r="I602" s="218" t="s">
        <v>2335</v>
      </c>
      <c r="J602" s="181" t="s">
        <v>1157</v>
      </c>
      <c r="K602" s="181"/>
    </row>
    <row r="603" spans="1:11">
      <c r="A603" s="199">
        <v>514</v>
      </c>
      <c r="B603" s="213" t="s">
        <v>2354</v>
      </c>
      <c r="C603" s="332" t="s">
        <v>2355</v>
      </c>
      <c r="D603" s="214" t="s">
        <v>2356</v>
      </c>
      <c r="E603" s="215" t="s">
        <v>2357</v>
      </c>
      <c r="F603" s="216" t="s">
        <v>2195</v>
      </c>
      <c r="G603" s="216" t="s">
        <v>2196</v>
      </c>
      <c r="H603" s="217" t="s">
        <v>1735</v>
      </c>
      <c r="I603" s="218" t="s">
        <v>2335</v>
      </c>
      <c r="J603" s="181" t="s">
        <v>1157</v>
      </c>
      <c r="K603" s="181"/>
    </row>
    <row r="605" spans="1:11">
      <c r="A605" s="276">
        <v>515</v>
      </c>
      <c r="B605" s="249" t="s">
        <v>2358</v>
      </c>
      <c r="C605" s="249" t="s">
        <v>2359</v>
      </c>
      <c r="D605" s="252" t="s">
        <v>2360</v>
      </c>
      <c r="E605" s="253" t="s">
        <v>2361</v>
      </c>
      <c r="F605" s="254" t="s">
        <v>2362</v>
      </c>
      <c r="G605" s="254" t="s">
        <v>1637</v>
      </c>
      <c r="H605" s="250" t="s">
        <v>96</v>
      </c>
      <c r="I605" s="206" t="s">
        <v>2363</v>
      </c>
      <c r="J605" s="181" t="s">
        <v>1105</v>
      </c>
      <c r="K605" s="181"/>
    </row>
    <row r="606" spans="1:11">
      <c r="A606" s="276">
        <v>516</v>
      </c>
      <c r="B606" s="249" t="s">
        <v>2364</v>
      </c>
      <c r="C606" s="249" t="s">
        <v>2365</v>
      </c>
      <c r="D606" s="252" t="s">
        <v>2366</v>
      </c>
      <c r="E606" s="253" t="s">
        <v>2367</v>
      </c>
      <c r="F606" s="254" t="s">
        <v>2362</v>
      </c>
      <c r="G606" s="254" t="s">
        <v>1637</v>
      </c>
      <c r="H606" s="250" t="s">
        <v>96</v>
      </c>
      <c r="I606" s="206" t="s">
        <v>2363</v>
      </c>
      <c r="J606" s="181" t="s">
        <v>1105</v>
      </c>
      <c r="K606" s="181"/>
    </row>
    <row r="607" spans="1:11">
      <c r="A607" s="276">
        <v>517</v>
      </c>
      <c r="B607" s="249" t="s">
        <v>2368</v>
      </c>
      <c r="C607" s="249" t="s">
        <v>2369</v>
      </c>
      <c r="D607" s="252" t="s">
        <v>2370</v>
      </c>
      <c r="E607" s="253" t="s">
        <v>2371</v>
      </c>
      <c r="F607" s="254" t="s">
        <v>2362</v>
      </c>
      <c r="G607" s="254" t="s">
        <v>1637</v>
      </c>
      <c r="H607" s="250" t="s">
        <v>96</v>
      </c>
      <c r="I607" s="206" t="s">
        <v>2363</v>
      </c>
      <c r="J607" s="181" t="s">
        <v>1105</v>
      </c>
      <c r="K607" s="181"/>
    </row>
    <row r="608" spans="1:11">
      <c r="A608" s="276">
        <v>518</v>
      </c>
      <c r="B608" s="249" t="s">
        <v>2372</v>
      </c>
      <c r="C608" s="249" t="s">
        <v>2373</v>
      </c>
      <c r="D608" s="252" t="s">
        <v>668</v>
      </c>
      <c r="E608" s="252" t="s">
        <v>669</v>
      </c>
      <c r="F608" s="254" t="s">
        <v>2374</v>
      </c>
      <c r="G608" s="254" t="s">
        <v>2375</v>
      </c>
      <c r="H608" s="250" t="s">
        <v>96</v>
      </c>
      <c r="I608" s="206" t="s">
        <v>2363</v>
      </c>
      <c r="J608" s="181" t="s">
        <v>1105</v>
      </c>
      <c r="K608" s="181"/>
    </row>
    <row r="609" spans="1:10">
      <c r="A609" s="276">
        <v>519</v>
      </c>
      <c r="B609" s="249" t="s">
        <v>2376</v>
      </c>
      <c r="C609" s="249" t="s">
        <v>2377</v>
      </c>
      <c r="D609" s="252" t="s">
        <v>691</v>
      </c>
      <c r="E609" s="252">
        <v>15955233080</v>
      </c>
      <c r="F609" s="254" t="s">
        <v>2374</v>
      </c>
      <c r="G609" s="254" t="s">
        <v>2375</v>
      </c>
      <c r="H609" s="250" t="s">
        <v>96</v>
      </c>
      <c r="I609" s="206" t="s">
        <v>2363</v>
      </c>
      <c r="J609" s="181" t="s">
        <v>1105</v>
      </c>
    </row>
    <row r="610" spans="1:10">
      <c r="A610" s="276">
        <v>520</v>
      </c>
      <c r="B610" s="249" t="s">
        <v>2378</v>
      </c>
      <c r="C610" s="249" t="s">
        <v>2379</v>
      </c>
      <c r="D610" s="252" t="s">
        <v>2380</v>
      </c>
      <c r="E610" s="253" t="s">
        <v>2381</v>
      </c>
      <c r="F610" s="254" t="s">
        <v>2374</v>
      </c>
      <c r="G610" s="254" t="s">
        <v>2375</v>
      </c>
      <c r="H610" s="250" t="s">
        <v>96</v>
      </c>
      <c r="I610" s="206" t="s">
        <v>2363</v>
      </c>
      <c r="J610" s="181" t="s">
        <v>1157</v>
      </c>
    </row>
    <row r="611" spans="1:10">
      <c r="A611" s="276">
        <v>521</v>
      </c>
      <c r="B611" s="249" t="s">
        <v>2382</v>
      </c>
      <c r="C611" s="249" t="s">
        <v>2383</v>
      </c>
      <c r="D611" s="252" t="s">
        <v>2384</v>
      </c>
      <c r="E611" s="253" t="s">
        <v>2385</v>
      </c>
      <c r="F611" s="254" t="s">
        <v>2374</v>
      </c>
      <c r="G611" s="254" t="s">
        <v>2375</v>
      </c>
      <c r="H611" s="250" t="s">
        <v>96</v>
      </c>
      <c r="I611" s="206" t="s">
        <v>2363</v>
      </c>
      <c r="J611" s="181" t="s">
        <v>1105</v>
      </c>
    </row>
    <row r="612" spans="1:10">
      <c r="A612" s="276">
        <v>522</v>
      </c>
      <c r="B612" s="249" t="s">
        <v>2386</v>
      </c>
      <c r="C612" s="249" t="s">
        <v>2387</v>
      </c>
      <c r="D612" s="252" t="s">
        <v>2388</v>
      </c>
      <c r="E612" s="253" t="s">
        <v>2389</v>
      </c>
      <c r="F612" s="254" t="s">
        <v>2374</v>
      </c>
      <c r="G612" s="254" t="s">
        <v>2375</v>
      </c>
      <c r="H612" s="250" t="s">
        <v>96</v>
      </c>
      <c r="I612" s="206" t="s">
        <v>2363</v>
      </c>
      <c r="J612" s="181" t="s">
        <v>1157</v>
      </c>
    </row>
    <row r="613" spans="1:10">
      <c r="A613" s="276">
        <v>523</v>
      </c>
      <c r="B613" s="249" t="s">
        <v>2390</v>
      </c>
      <c r="C613" s="249" t="s">
        <v>2391</v>
      </c>
      <c r="D613" s="252" t="s">
        <v>2392</v>
      </c>
      <c r="E613" s="253" t="s">
        <v>2393</v>
      </c>
      <c r="F613" s="254" t="s">
        <v>2374</v>
      </c>
      <c r="G613" s="254" t="s">
        <v>2375</v>
      </c>
      <c r="H613" s="250" t="s">
        <v>96</v>
      </c>
      <c r="I613" s="206" t="s">
        <v>2363</v>
      </c>
      <c r="J613" s="181" t="s">
        <v>1105</v>
      </c>
    </row>
    <row r="614" spans="1:10">
      <c r="A614" s="276">
        <v>524</v>
      </c>
      <c r="B614" s="249" t="s">
        <v>2394</v>
      </c>
      <c r="C614" s="249" t="s">
        <v>2395</v>
      </c>
      <c r="D614" s="252" t="s">
        <v>2396</v>
      </c>
      <c r="E614" s="253">
        <v>15212034210</v>
      </c>
      <c r="F614" s="254" t="s">
        <v>2374</v>
      </c>
      <c r="G614" s="254" t="s">
        <v>2375</v>
      </c>
      <c r="H614" s="250" t="s">
        <v>96</v>
      </c>
      <c r="I614" s="206" t="s">
        <v>2363</v>
      </c>
      <c r="J614" s="181" t="s">
        <v>1105</v>
      </c>
    </row>
    <row r="615" spans="1:10">
      <c r="A615" s="276">
        <v>525</v>
      </c>
      <c r="B615" s="249" t="s">
        <v>2397</v>
      </c>
      <c r="C615" s="249" t="s">
        <v>2398</v>
      </c>
      <c r="D615" s="252" t="s">
        <v>2399</v>
      </c>
      <c r="E615" s="253">
        <v>17081379900</v>
      </c>
      <c r="F615" s="254" t="s">
        <v>2374</v>
      </c>
      <c r="G615" s="254" t="s">
        <v>2375</v>
      </c>
      <c r="H615" s="250" t="s">
        <v>96</v>
      </c>
      <c r="I615" s="206" t="s">
        <v>2363</v>
      </c>
      <c r="J615" s="181" t="s">
        <v>1105</v>
      </c>
    </row>
    <row r="616" spans="1:10">
      <c r="A616" s="276">
        <v>526</v>
      </c>
      <c r="B616" s="249" t="s">
        <v>2400</v>
      </c>
      <c r="C616" s="249" t="s">
        <v>2401</v>
      </c>
      <c r="D616" s="252" t="s">
        <v>2402</v>
      </c>
      <c r="E616" s="253" t="s">
        <v>2403</v>
      </c>
      <c r="F616" s="254" t="s">
        <v>2374</v>
      </c>
      <c r="G616" s="254" t="s">
        <v>2375</v>
      </c>
      <c r="H616" s="250" t="s">
        <v>96</v>
      </c>
      <c r="I616" s="206" t="s">
        <v>2363</v>
      </c>
      <c r="J616" s="181" t="s">
        <v>1105</v>
      </c>
    </row>
    <row r="617" spans="1:10">
      <c r="A617" s="276">
        <v>527</v>
      </c>
      <c r="B617" s="249" t="s">
        <v>2404</v>
      </c>
      <c r="C617" s="249" t="s">
        <v>2405</v>
      </c>
      <c r="D617" s="252" t="s">
        <v>2406</v>
      </c>
      <c r="E617" s="253">
        <v>18501766681</v>
      </c>
      <c r="F617" s="254" t="s">
        <v>2374</v>
      </c>
      <c r="G617" s="254" t="s">
        <v>2375</v>
      </c>
      <c r="H617" s="250" t="s">
        <v>96</v>
      </c>
      <c r="I617" s="206" t="s">
        <v>2363</v>
      </c>
      <c r="J617" s="181" t="s">
        <v>1105</v>
      </c>
    </row>
    <row r="618" spans="1:10">
      <c r="A618" s="276">
        <v>528</v>
      </c>
      <c r="B618" s="249" t="s">
        <v>2407</v>
      </c>
      <c r="C618" s="249" t="s">
        <v>2408</v>
      </c>
      <c r="D618" s="252" t="s">
        <v>2409</v>
      </c>
      <c r="E618" s="253">
        <v>15021801493</v>
      </c>
      <c r="F618" s="254" t="s">
        <v>2374</v>
      </c>
      <c r="G618" s="254" t="s">
        <v>2375</v>
      </c>
      <c r="H618" s="250" t="s">
        <v>96</v>
      </c>
      <c r="I618" s="206" t="s">
        <v>2363</v>
      </c>
      <c r="J618" s="181" t="s">
        <v>1105</v>
      </c>
    </row>
    <row r="619" spans="1:10">
      <c r="A619" s="276">
        <v>529</v>
      </c>
      <c r="B619" s="249" t="s">
        <v>2410</v>
      </c>
      <c r="C619" s="249" t="s">
        <v>2411</v>
      </c>
      <c r="D619" s="252" t="s">
        <v>2412</v>
      </c>
      <c r="E619" s="253" t="s">
        <v>2413</v>
      </c>
      <c r="F619" s="254" t="s">
        <v>2374</v>
      </c>
      <c r="G619" s="254" t="s">
        <v>2375</v>
      </c>
      <c r="H619" s="250" t="s">
        <v>96</v>
      </c>
      <c r="I619" s="218" t="s">
        <v>2414</v>
      </c>
      <c r="J619" s="181" t="s">
        <v>1105</v>
      </c>
    </row>
    <row r="620" spans="1:10">
      <c r="A620" s="276">
        <v>530</v>
      </c>
      <c r="B620" s="249" t="s">
        <v>2415</v>
      </c>
      <c r="C620" s="249" t="s">
        <v>2416</v>
      </c>
      <c r="D620" s="252" t="s">
        <v>2417</v>
      </c>
      <c r="E620" s="253" t="s">
        <v>2418</v>
      </c>
      <c r="F620" s="254" t="s">
        <v>2374</v>
      </c>
      <c r="G620" s="254" t="s">
        <v>2375</v>
      </c>
      <c r="H620" s="250" t="s">
        <v>96</v>
      </c>
      <c r="I620" s="218" t="s">
        <v>2414</v>
      </c>
      <c r="J620" s="181" t="s">
        <v>1105</v>
      </c>
    </row>
    <row r="621" spans="1:10">
      <c r="A621" s="276">
        <v>531</v>
      </c>
      <c r="B621" s="249" t="s">
        <v>2419</v>
      </c>
      <c r="C621" s="249" t="s">
        <v>2420</v>
      </c>
      <c r="D621" s="252" t="s">
        <v>2421</v>
      </c>
      <c r="E621" s="253" t="s">
        <v>2422</v>
      </c>
      <c r="F621" s="254" t="s">
        <v>2374</v>
      </c>
      <c r="G621" s="254" t="s">
        <v>2375</v>
      </c>
      <c r="H621" s="250" t="s">
        <v>96</v>
      </c>
      <c r="I621" s="218" t="s">
        <v>2414</v>
      </c>
      <c r="J621" s="181" t="s">
        <v>1105</v>
      </c>
    </row>
    <row r="622" spans="1:10">
      <c r="A622" s="276">
        <v>532</v>
      </c>
      <c r="B622" s="249" t="s">
        <v>2423</v>
      </c>
      <c r="C622" s="249" t="s">
        <v>2424</v>
      </c>
      <c r="D622" s="252" t="s">
        <v>2425</v>
      </c>
      <c r="E622" s="253" t="s">
        <v>2426</v>
      </c>
      <c r="F622" s="254" t="s">
        <v>2374</v>
      </c>
      <c r="G622" s="254" t="s">
        <v>2375</v>
      </c>
      <c r="H622" s="250" t="s">
        <v>96</v>
      </c>
      <c r="I622" s="218" t="s">
        <v>2414</v>
      </c>
      <c r="J622" s="181" t="s">
        <v>1105</v>
      </c>
    </row>
    <row r="623" spans="1:10">
      <c r="A623" s="276">
        <v>533</v>
      </c>
      <c r="B623" s="334" t="s">
        <v>2427</v>
      </c>
      <c r="C623" s="334" t="s">
        <v>2428</v>
      </c>
      <c r="D623" s="335" t="s">
        <v>2429</v>
      </c>
      <c r="E623" s="336" t="s">
        <v>2430</v>
      </c>
      <c r="F623" s="337" t="s">
        <v>2431</v>
      </c>
      <c r="G623" s="338" t="s">
        <v>2432</v>
      </c>
      <c r="H623" s="250" t="s">
        <v>96</v>
      </c>
      <c r="I623" s="218" t="s">
        <v>2414</v>
      </c>
      <c r="J623" s="181" t="s">
        <v>1157</v>
      </c>
    </row>
    <row r="624" spans="1:10" ht="15">
      <c r="A624" s="276">
        <v>534</v>
      </c>
      <c r="B624" s="339" t="s">
        <v>2433</v>
      </c>
      <c r="C624" s="340" t="s">
        <v>2434</v>
      </c>
      <c r="D624" s="341" t="s">
        <v>2435</v>
      </c>
      <c r="E624" s="341" t="s">
        <v>2436</v>
      </c>
      <c r="F624" s="342" t="s">
        <v>1171</v>
      </c>
      <c r="G624" s="337" t="s">
        <v>1061</v>
      </c>
      <c r="H624" s="250" t="s">
        <v>96</v>
      </c>
      <c r="I624" s="218" t="s">
        <v>2414</v>
      </c>
      <c r="J624" s="181" t="s">
        <v>1105</v>
      </c>
    </row>
    <row r="625" spans="1:11" ht="15">
      <c r="A625" s="276">
        <v>535</v>
      </c>
      <c r="B625" s="339" t="s">
        <v>2437</v>
      </c>
      <c r="C625" s="340" t="s">
        <v>2438</v>
      </c>
      <c r="D625" s="341" t="s">
        <v>2439</v>
      </c>
      <c r="E625" s="341" t="s">
        <v>2440</v>
      </c>
      <c r="F625" s="342" t="s">
        <v>1171</v>
      </c>
      <c r="G625" s="337" t="s">
        <v>1061</v>
      </c>
      <c r="H625" s="250" t="s">
        <v>96</v>
      </c>
      <c r="I625" s="218" t="s">
        <v>2414</v>
      </c>
      <c r="J625" s="181" t="s">
        <v>1105</v>
      </c>
      <c r="K625" s="181"/>
    </row>
    <row r="626" spans="1:11" ht="15">
      <c r="A626" s="276">
        <v>536</v>
      </c>
      <c r="B626" s="339" t="s">
        <v>2441</v>
      </c>
      <c r="C626" s="340" t="s">
        <v>2442</v>
      </c>
      <c r="D626" s="341" t="s">
        <v>2443</v>
      </c>
      <c r="E626" s="341" t="s">
        <v>2444</v>
      </c>
      <c r="F626" s="342" t="s">
        <v>1171</v>
      </c>
      <c r="G626" s="337" t="s">
        <v>1061</v>
      </c>
      <c r="H626" s="250" t="s">
        <v>96</v>
      </c>
      <c r="I626" s="218" t="s">
        <v>2414</v>
      </c>
      <c r="J626" s="181" t="s">
        <v>1105</v>
      </c>
      <c r="K626" s="181"/>
    </row>
    <row r="627" spans="1:11" ht="15">
      <c r="A627" s="276">
        <v>537</v>
      </c>
      <c r="B627" s="339" t="s">
        <v>2445</v>
      </c>
      <c r="C627" s="340" t="s">
        <v>2446</v>
      </c>
      <c r="D627" s="341" t="s">
        <v>2447</v>
      </c>
      <c r="E627" s="341" t="s">
        <v>2448</v>
      </c>
      <c r="F627" s="342" t="s">
        <v>1171</v>
      </c>
      <c r="G627" s="337" t="s">
        <v>1061</v>
      </c>
      <c r="H627" s="250" t="s">
        <v>96</v>
      </c>
      <c r="I627" s="218" t="s">
        <v>2414</v>
      </c>
      <c r="J627" s="181" t="s">
        <v>1157</v>
      </c>
      <c r="K627" s="181"/>
    </row>
    <row r="628" spans="1:11">
      <c r="A628" s="276">
        <v>538</v>
      </c>
      <c r="B628" s="343" t="s">
        <v>2449</v>
      </c>
      <c r="C628" s="334" t="s">
        <v>2450</v>
      </c>
      <c r="D628" s="344" t="s">
        <v>2451</v>
      </c>
      <c r="E628" s="338">
        <v>19955392518</v>
      </c>
      <c r="F628" s="257" t="s">
        <v>2452</v>
      </c>
      <c r="G628" s="258" t="s">
        <v>2453</v>
      </c>
      <c r="H628" s="250" t="s">
        <v>96</v>
      </c>
      <c r="I628" s="218" t="s">
        <v>2414</v>
      </c>
      <c r="J628" s="181" t="s">
        <v>1105</v>
      </c>
      <c r="K628" s="181"/>
    </row>
    <row r="629" spans="1:11">
      <c r="A629" s="276">
        <v>539</v>
      </c>
      <c r="B629" s="343" t="s">
        <v>2454</v>
      </c>
      <c r="C629" s="345" t="s">
        <v>2455</v>
      </c>
      <c r="D629" s="346" t="s">
        <v>2456</v>
      </c>
      <c r="E629" s="347">
        <v>15055264203</v>
      </c>
      <c r="F629" s="257" t="s">
        <v>2452</v>
      </c>
      <c r="G629" s="258" t="s">
        <v>2453</v>
      </c>
      <c r="H629" s="250" t="s">
        <v>96</v>
      </c>
      <c r="I629" s="218" t="s">
        <v>2414</v>
      </c>
      <c r="J629" s="181" t="s">
        <v>1105</v>
      </c>
      <c r="K629" s="181"/>
    </row>
    <row r="630" spans="1:11">
      <c r="A630" s="276">
        <v>540</v>
      </c>
      <c r="B630" s="343" t="s">
        <v>2457</v>
      </c>
      <c r="C630" s="334" t="s">
        <v>2458</v>
      </c>
      <c r="D630" s="335" t="s">
        <v>2459</v>
      </c>
      <c r="E630" s="338">
        <v>15656298843</v>
      </c>
      <c r="F630" s="257" t="s">
        <v>2452</v>
      </c>
      <c r="G630" s="258" t="s">
        <v>2453</v>
      </c>
      <c r="H630" s="250" t="s">
        <v>96</v>
      </c>
      <c r="I630" s="218" t="s">
        <v>2414</v>
      </c>
      <c r="J630" s="181" t="s">
        <v>1105</v>
      </c>
      <c r="K630" s="181"/>
    </row>
    <row r="631" spans="1:11">
      <c r="A631" s="276">
        <v>541</v>
      </c>
      <c r="B631" s="343" t="s">
        <v>2460</v>
      </c>
      <c r="C631" s="251" t="s">
        <v>2461</v>
      </c>
      <c r="D631" s="335" t="s">
        <v>2462</v>
      </c>
      <c r="E631" s="255">
        <v>18225984560</v>
      </c>
      <c r="F631" s="257" t="s">
        <v>2452</v>
      </c>
      <c r="G631" s="258" t="s">
        <v>2453</v>
      </c>
      <c r="H631" s="250" t="s">
        <v>96</v>
      </c>
      <c r="I631" s="218" t="s">
        <v>2414</v>
      </c>
      <c r="J631" s="181" t="s">
        <v>1105</v>
      </c>
      <c r="K631" s="181"/>
    </row>
    <row r="632" spans="1:11">
      <c r="A632" s="276">
        <v>542</v>
      </c>
      <c r="B632" s="343" t="s">
        <v>2463</v>
      </c>
      <c r="C632" s="334" t="s">
        <v>2464</v>
      </c>
      <c r="D632" s="348" t="s">
        <v>2465</v>
      </c>
      <c r="E632" s="338">
        <v>15055197573</v>
      </c>
      <c r="F632" s="257" t="s">
        <v>2452</v>
      </c>
      <c r="G632" s="258" t="s">
        <v>2453</v>
      </c>
      <c r="H632" s="250" t="s">
        <v>96</v>
      </c>
      <c r="I632" s="218" t="s">
        <v>2414</v>
      </c>
      <c r="J632" s="181" t="s">
        <v>1157</v>
      </c>
      <c r="K632" s="181" t="s">
        <v>2466</v>
      </c>
    </row>
    <row r="633" spans="1:11">
      <c r="A633" s="276">
        <v>543</v>
      </c>
      <c r="B633" s="343" t="s">
        <v>2467</v>
      </c>
      <c r="C633" s="334" t="s">
        <v>1670</v>
      </c>
      <c r="D633" s="348" t="s">
        <v>1671</v>
      </c>
      <c r="E633" s="338">
        <v>1323051690</v>
      </c>
      <c r="F633" s="349" t="s">
        <v>641</v>
      </c>
      <c r="G633" s="338" t="s">
        <v>642</v>
      </c>
      <c r="H633" s="250" t="s">
        <v>96</v>
      </c>
      <c r="I633" s="206" t="s">
        <v>2468</v>
      </c>
      <c r="J633" s="181" t="s">
        <v>1105</v>
      </c>
      <c r="K633" s="181"/>
    </row>
    <row r="634" spans="1:11">
      <c r="A634" s="276">
        <v>544</v>
      </c>
      <c r="B634" s="350" t="s">
        <v>2469</v>
      </c>
      <c r="C634" s="334" t="s">
        <v>2470</v>
      </c>
      <c r="D634" s="336" t="s">
        <v>2471</v>
      </c>
      <c r="E634" s="338">
        <v>17538363736</v>
      </c>
      <c r="F634" s="349" t="s">
        <v>641</v>
      </c>
      <c r="G634" s="338" t="s">
        <v>642</v>
      </c>
      <c r="H634" s="250" t="s">
        <v>96</v>
      </c>
      <c r="I634" s="206" t="s">
        <v>2468</v>
      </c>
      <c r="J634" s="181" t="s">
        <v>1157</v>
      </c>
      <c r="K634" s="181" t="s">
        <v>2466</v>
      </c>
    </row>
    <row r="635" spans="1:11">
      <c r="A635" s="276">
        <v>545</v>
      </c>
      <c r="B635" s="350" t="s">
        <v>2472</v>
      </c>
      <c r="C635" s="334" t="s">
        <v>2473</v>
      </c>
      <c r="D635" s="336" t="s">
        <v>2474</v>
      </c>
      <c r="E635" s="338">
        <v>18715068406</v>
      </c>
      <c r="F635" s="349" t="s">
        <v>641</v>
      </c>
      <c r="G635" s="338" t="s">
        <v>642</v>
      </c>
      <c r="H635" s="250" t="s">
        <v>96</v>
      </c>
      <c r="I635" s="206" t="s">
        <v>2468</v>
      </c>
      <c r="J635" s="181" t="s">
        <v>1157</v>
      </c>
      <c r="K635" s="181"/>
    </row>
    <row r="636" spans="1:11">
      <c r="A636" s="276">
        <v>546</v>
      </c>
      <c r="B636" s="343" t="s">
        <v>2475</v>
      </c>
      <c r="C636" s="334" t="s">
        <v>2476</v>
      </c>
      <c r="D636" s="348" t="s">
        <v>2477</v>
      </c>
      <c r="E636" s="338">
        <v>15373805949</v>
      </c>
      <c r="F636" s="257" t="s">
        <v>2452</v>
      </c>
      <c r="G636" s="258" t="s">
        <v>2453</v>
      </c>
      <c r="H636" s="250" t="s">
        <v>18</v>
      </c>
      <c r="I636" s="206" t="s">
        <v>2468</v>
      </c>
      <c r="J636" s="181" t="s">
        <v>1105</v>
      </c>
      <c r="K636" s="181"/>
    </row>
    <row r="637" spans="1:11">
      <c r="A637" s="276">
        <v>547</v>
      </c>
      <c r="B637" s="343" t="s">
        <v>2478</v>
      </c>
      <c r="C637" s="334" t="s">
        <v>2479</v>
      </c>
      <c r="D637" s="348" t="s">
        <v>2480</v>
      </c>
      <c r="E637" s="338">
        <v>13721075223</v>
      </c>
      <c r="F637" s="257" t="s">
        <v>2452</v>
      </c>
      <c r="G637" s="258" t="s">
        <v>2453</v>
      </c>
      <c r="H637" s="250" t="s">
        <v>18</v>
      </c>
      <c r="I637" s="206" t="s">
        <v>2468</v>
      </c>
      <c r="J637" s="181" t="s">
        <v>1105</v>
      </c>
      <c r="K637" s="181"/>
    </row>
    <row r="638" spans="1:11">
      <c r="A638" s="276">
        <v>548</v>
      </c>
      <c r="B638" s="343" t="s">
        <v>2481</v>
      </c>
      <c r="C638" s="334" t="s">
        <v>2482</v>
      </c>
      <c r="D638" s="348" t="s">
        <v>2483</v>
      </c>
      <c r="E638" s="338">
        <v>18355155891</v>
      </c>
      <c r="F638" s="257" t="s">
        <v>2452</v>
      </c>
      <c r="G638" s="258" t="s">
        <v>2453</v>
      </c>
      <c r="H638" s="250" t="s">
        <v>18</v>
      </c>
      <c r="I638" s="206" t="s">
        <v>2468</v>
      </c>
      <c r="J638" s="181" t="s">
        <v>1105</v>
      </c>
      <c r="K638" s="181"/>
    </row>
    <row r="639" spans="1:11">
      <c r="A639" s="276">
        <v>549</v>
      </c>
      <c r="B639" s="343" t="s">
        <v>2484</v>
      </c>
      <c r="C639" s="334" t="s">
        <v>2485</v>
      </c>
      <c r="D639" s="351" t="s">
        <v>2486</v>
      </c>
      <c r="E639" s="338">
        <v>18326005807</v>
      </c>
      <c r="F639" s="257" t="s">
        <v>2452</v>
      </c>
      <c r="G639" s="258" t="s">
        <v>2453</v>
      </c>
      <c r="H639" s="250" t="s">
        <v>18</v>
      </c>
      <c r="I639" s="206" t="s">
        <v>2468</v>
      </c>
      <c r="J639" s="181" t="s">
        <v>1105</v>
      </c>
      <c r="K639" s="181"/>
    </row>
    <row r="640" spans="1:11">
      <c r="A640" s="276">
        <v>550</v>
      </c>
      <c r="B640" s="343" t="s">
        <v>2487</v>
      </c>
      <c r="C640" s="334" t="s">
        <v>2488</v>
      </c>
      <c r="D640" s="348" t="s">
        <v>2489</v>
      </c>
      <c r="E640" s="338">
        <v>19156593730</v>
      </c>
      <c r="F640" s="352" t="s">
        <v>755</v>
      </c>
      <c r="G640" s="338" t="s">
        <v>2453</v>
      </c>
      <c r="H640" s="250" t="s">
        <v>18</v>
      </c>
      <c r="I640" s="206" t="s">
        <v>2468</v>
      </c>
      <c r="J640" s="181" t="s">
        <v>1105</v>
      </c>
      <c r="K640" s="181"/>
    </row>
    <row r="641" spans="1:10">
      <c r="A641" s="276">
        <v>551</v>
      </c>
      <c r="B641" s="343" t="s">
        <v>2490</v>
      </c>
      <c r="C641" s="334" t="s">
        <v>2491</v>
      </c>
      <c r="D641" s="348" t="s">
        <v>2492</v>
      </c>
      <c r="E641" s="338">
        <v>15618791096</v>
      </c>
      <c r="F641" s="257" t="s">
        <v>2452</v>
      </c>
      <c r="G641" s="338" t="s">
        <v>2453</v>
      </c>
      <c r="H641" s="250" t="s">
        <v>18</v>
      </c>
      <c r="I641" s="206" t="s">
        <v>2468</v>
      </c>
      <c r="J641" s="181" t="s">
        <v>1105</v>
      </c>
    </row>
    <row r="642" spans="1:10">
      <c r="A642" s="276">
        <v>552</v>
      </c>
      <c r="B642" s="343" t="s">
        <v>2493</v>
      </c>
      <c r="C642" s="334" t="s">
        <v>2494</v>
      </c>
      <c r="D642" s="348" t="s">
        <v>2495</v>
      </c>
      <c r="E642" s="338">
        <v>17356548858</v>
      </c>
      <c r="F642" s="257" t="s">
        <v>2452</v>
      </c>
      <c r="G642" s="338" t="s">
        <v>2453</v>
      </c>
      <c r="H642" s="250" t="s">
        <v>18</v>
      </c>
      <c r="I642" s="206" t="s">
        <v>2468</v>
      </c>
      <c r="J642" s="181" t="s">
        <v>1105</v>
      </c>
    </row>
    <row r="643" spans="1:10">
      <c r="A643" s="276">
        <v>553</v>
      </c>
      <c r="B643" s="343" t="s">
        <v>2496</v>
      </c>
      <c r="C643" s="334" t="s">
        <v>2497</v>
      </c>
      <c r="D643" s="336" t="s">
        <v>2498</v>
      </c>
      <c r="E643" s="338">
        <v>18856966745</v>
      </c>
      <c r="F643" s="257" t="s">
        <v>2452</v>
      </c>
      <c r="G643" s="338" t="s">
        <v>2453</v>
      </c>
      <c r="H643" s="250" t="s">
        <v>18</v>
      </c>
      <c r="I643" s="206" t="s">
        <v>2468</v>
      </c>
      <c r="J643" s="181" t="s">
        <v>1157</v>
      </c>
    </row>
    <row r="644" spans="1:10" ht="15">
      <c r="A644" s="276">
        <v>554</v>
      </c>
      <c r="B644" s="353" t="s">
        <v>2499</v>
      </c>
      <c r="C644" s="334" t="s">
        <v>2500</v>
      </c>
      <c r="D644" s="336" t="s">
        <v>2501</v>
      </c>
      <c r="E644" s="338">
        <v>15212672273</v>
      </c>
      <c r="F644" s="257" t="s">
        <v>2452</v>
      </c>
      <c r="G644" s="338" t="s">
        <v>2453</v>
      </c>
      <c r="H644" s="250" t="s">
        <v>18</v>
      </c>
      <c r="I644" s="206" t="s">
        <v>2468</v>
      </c>
      <c r="J644" s="181" t="s">
        <v>1105</v>
      </c>
    </row>
    <row r="645" spans="1:10" ht="15">
      <c r="A645" s="276">
        <v>555</v>
      </c>
      <c r="B645" s="353" t="s">
        <v>2502</v>
      </c>
      <c r="C645" s="334" t="s">
        <v>2503</v>
      </c>
      <c r="D645" s="336" t="s">
        <v>2504</v>
      </c>
      <c r="E645" s="338">
        <v>15955176548</v>
      </c>
      <c r="F645" s="257" t="s">
        <v>2452</v>
      </c>
      <c r="G645" s="338" t="s">
        <v>2453</v>
      </c>
      <c r="H645" s="250" t="s">
        <v>18</v>
      </c>
      <c r="I645" s="206" t="s">
        <v>2468</v>
      </c>
      <c r="J645" s="181" t="s">
        <v>1105</v>
      </c>
    </row>
    <row r="646" spans="1:10" ht="15">
      <c r="A646" s="276">
        <v>556</v>
      </c>
      <c r="B646" s="353" t="s">
        <v>2505</v>
      </c>
      <c r="C646" s="334" t="s">
        <v>2506</v>
      </c>
      <c r="D646" s="336" t="s">
        <v>2507</v>
      </c>
      <c r="E646" s="338">
        <v>17755821378</v>
      </c>
      <c r="F646" s="257" t="s">
        <v>2452</v>
      </c>
      <c r="G646" s="338" t="s">
        <v>2453</v>
      </c>
      <c r="H646" s="250" t="s">
        <v>18</v>
      </c>
      <c r="I646" s="206" t="s">
        <v>2468</v>
      </c>
      <c r="J646" s="181" t="s">
        <v>1105</v>
      </c>
    </row>
    <row r="647" spans="1:10" ht="15">
      <c r="A647" s="276">
        <v>557</v>
      </c>
      <c r="B647" s="353" t="s">
        <v>2508</v>
      </c>
      <c r="C647" s="334" t="s">
        <v>2509</v>
      </c>
      <c r="D647" s="256" t="s">
        <v>2510</v>
      </c>
      <c r="E647" s="338">
        <v>18356078221</v>
      </c>
      <c r="F647" s="257" t="s">
        <v>2452</v>
      </c>
      <c r="G647" s="338" t="s">
        <v>2453</v>
      </c>
      <c r="H647" s="250" t="s">
        <v>18</v>
      </c>
      <c r="I647" s="218" t="s">
        <v>2511</v>
      </c>
      <c r="J647" s="181" t="s">
        <v>1105</v>
      </c>
    </row>
    <row r="648" spans="1:10" ht="15">
      <c r="A648" s="276">
        <v>558</v>
      </c>
      <c r="B648" s="353" t="s">
        <v>2512</v>
      </c>
      <c r="C648" s="334" t="s">
        <v>2513</v>
      </c>
      <c r="D648" s="336" t="s">
        <v>2514</v>
      </c>
      <c r="E648" s="255">
        <v>17681099483</v>
      </c>
      <c r="F648" s="257" t="s">
        <v>2452</v>
      </c>
      <c r="G648" s="338" t="s">
        <v>2453</v>
      </c>
      <c r="H648" s="250" t="s">
        <v>18</v>
      </c>
      <c r="I648" s="218" t="s">
        <v>2511</v>
      </c>
      <c r="J648" s="181" t="s">
        <v>1105</v>
      </c>
    </row>
    <row r="649" spans="1:10">
      <c r="A649" s="276">
        <v>559</v>
      </c>
      <c r="B649" s="353" t="s">
        <v>2515</v>
      </c>
      <c r="C649" s="334" t="s">
        <v>2516</v>
      </c>
      <c r="D649" s="336" t="s">
        <v>2517</v>
      </c>
      <c r="E649" s="338">
        <v>18507225626</v>
      </c>
      <c r="F649" s="352" t="s">
        <v>755</v>
      </c>
      <c r="G649" s="338" t="s">
        <v>2453</v>
      </c>
      <c r="H649" s="250" t="s">
        <v>18</v>
      </c>
      <c r="I649" s="218" t="s">
        <v>2511</v>
      </c>
      <c r="J649" s="181" t="s">
        <v>1105</v>
      </c>
    </row>
    <row r="650" spans="1:10" ht="15">
      <c r="A650" s="276">
        <v>560</v>
      </c>
      <c r="B650" s="353" t="s">
        <v>2518</v>
      </c>
      <c r="C650" s="334" t="s">
        <v>2519</v>
      </c>
      <c r="D650" s="336" t="s">
        <v>2520</v>
      </c>
      <c r="E650" s="338">
        <v>17857191770</v>
      </c>
      <c r="F650" s="352" t="s">
        <v>755</v>
      </c>
      <c r="G650" s="338" t="s">
        <v>2453</v>
      </c>
      <c r="H650" s="250" t="s">
        <v>18</v>
      </c>
      <c r="I650" s="218" t="s">
        <v>2511</v>
      </c>
      <c r="J650" s="181" t="s">
        <v>1105</v>
      </c>
    </row>
    <row r="651" spans="1:10">
      <c r="A651" s="276">
        <v>561</v>
      </c>
      <c r="B651" s="343" t="s">
        <v>2521</v>
      </c>
      <c r="C651" s="334" t="s">
        <v>1712</v>
      </c>
      <c r="D651" s="335" t="s">
        <v>1713</v>
      </c>
      <c r="E651" s="338">
        <v>15730305037</v>
      </c>
      <c r="F651" s="349" t="s">
        <v>641</v>
      </c>
      <c r="G651" s="338" t="s">
        <v>642</v>
      </c>
      <c r="H651" s="250" t="s">
        <v>18</v>
      </c>
      <c r="I651" s="218" t="s">
        <v>2511</v>
      </c>
      <c r="J651" s="181" t="s">
        <v>1157</v>
      </c>
    </row>
    <row r="652" spans="1:10">
      <c r="A652" s="276">
        <v>562</v>
      </c>
      <c r="B652" s="343" t="s">
        <v>2522</v>
      </c>
      <c r="C652" s="334" t="s">
        <v>2523</v>
      </c>
      <c r="D652" s="344" t="s">
        <v>2524</v>
      </c>
      <c r="E652" s="338">
        <v>17855281556</v>
      </c>
      <c r="F652" s="349" t="s">
        <v>641</v>
      </c>
      <c r="G652" s="338" t="s">
        <v>642</v>
      </c>
      <c r="H652" s="250" t="s">
        <v>18</v>
      </c>
      <c r="I652" s="218" t="s">
        <v>2511</v>
      </c>
      <c r="J652" s="181" t="s">
        <v>1105</v>
      </c>
    </row>
    <row r="653" spans="1:10">
      <c r="A653" s="276">
        <v>563</v>
      </c>
      <c r="B653" s="343" t="s">
        <v>2525</v>
      </c>
      <c r="C653" s="334" t="s">
        <v>2526</v>
      </c>
      <c r="D653" s="336" t="s">
        <v>2527</v>
      </c>
      <c r="E653" s="338">
        <v>17623604038</v>
      </c>
      <c r="F653" s="349" t="s">
        <v>641</v>
      </c>
      <c r="G653" s="338" t="s">
        <v>642</v>
      </c>
      <c r="H653" s="250" t="s">
        <v>18</v>
      </c>
      <c r="I653" s="218" t="s">
        <v>2511</v>
      </c>
      <c r="J653" s="181" t="s">
        <v>1105</v>
      </c>
    </row>
    <row r="654" spans="1:10" ht="15">
      <c r="A654" s="276">
        <v>564</v>
      </c>
      <c r="B654" s="353" t="s">
        <v>2528</v>
      </c>
      <c r="C654" s="353" t="s">
        <v>2529</v>
      </c>
      <c r="D654" s="354" t="s">
        <v>2530</v>
      </c>
      <c r="E654" s="355">
        <v>15002191866</v>
      </c>
      <c r="F654" s="349" t="s">
        <v>641</v>
      </c>
      <c r="G654" s="338" t="s">
        <v>642</v>
      </c>
      <c r="H654" s="250" t="s">
        <v>18</v>
      </c>
      <c r="I654" s="218" t="s">
        <v>2511</v>
      </c>
      <c r="J654" s="181" t="s">
        <v>1105</v>
      </c>
    </row>
    <row r="655" spans="1:10">
      <c r="A655" s="276">
        <v>565</v>
      </c>
      <c r="B655" s="343" t="s">
        <v>2531</v>
      </c>
      <c r="C655" s="334" t="s">
        <v>2532</v>
      </c>
      <c r="D655" s="335" t="s">
        <v>2533</v>
      </c>
      <c r="E655" s="338">
        <v>13166825522</v>
      </c>
      <c r="F655" s="349" t="s">
        <v>641</v>
      </c>
      <c r="G655" s="338" t="s">
        <v>642</v>
      </c>
      <c r="H655" s="250" t="s">
        <v>18</v>
      </c>
      <c r="I655" s="218" t="s">
        <v>2511</v>
      </c>
      <c r="J655" s="181" t="s">
        <v>1105</v>
      </c>
    </row>
    <row r="656" spans="1:10">
      <c r="A656" s="276">
        <v>566</v>
      </c>
      <c r="B656" s="343" t="s">
        <v>2534</v>
      </c>
      <c r="C656" s="334" t="s">
        <v>2535</v>
      </c>
      <c r="D656" s="335" t="s">
        <v>2536</v>
      </c>
      <c r="E656" s="338">
        <v>13351502790</v>
      </c>
      <c r="F656" s="349" t="s">
        <v>641</v>
      </c>
      <c r="G656" s="338" t="s">
        <v>642</v>
      </c>
      <c r="H656" s="250" t="s">
        <v>18</v>
      </c>
      <c r="I656" s="218" t="s">
        <v>2511</v>
      </c>
      <c r="J656" s="181" t="s">
        <v>1105</v>
      </c>
    </row>
    <row r="657" spans="1:10">
      <c r="A657" s="276">
        <v>567</v>
      </c>
      <c r="B657" s="356" t="s">
        <v>2537</v>
      </c>
      <c r="C657" s="334" t="s">
        <v>2538</v>
      </c>
      <c r="D657" s="338" t="s">
        <v>2539</v>
      </c>
      <c r="E657" s="338">
        <v>17643172916</v>
      </c>
      <c r="F657" s="349" t="s">
        <v>641</v>
      </c>
      <c r="G657" s="338" t="s">
        <v>642</v>
      </c>
      <c r="H657" s="250" t="s">
        <v>18</v>
      </c>
      <c r="I657" s="218" t="s">
        <v>2511</v>
      </c>
      <c r="J657" s="181" t="s">
        <v>1105</v>
      </c>
    </row>
    <row r="658" spans="1:10">
      <c r="A658" s="276">
        <v>568</v>
      </c>
      <c r="B658" s="334" t="s">
        <v>2540</v>
      </c>
      <c r="C658" s="334" t="s">
        <v>2541</v>
      </c>
      <c r="D658" s="335" t="s">
        <v>2542</v>
      </c>
      <c r="E658" s="338">
        <v>15634314758</v>
      </c>
      <c r="F658" s="349" t="s">
        <v>641</v>
      </c>
      <c r="G658" s="338" t="s">
        <v>642</v>
      </c>
      <c r="H658" s="250" t="s">
        <v>18</v>
      </c>
      <c r="I658" s="218" t="s">
        <v>2511</v>
      </c>
      <c r="J658" s="181" t="s">
        <v>1157</v>
      </c>
    </row>
    <row r="659" spans="1:10">
      <c r="A659" s="276">
        <v>569</v>
      </c>
      <c r="B659" s="357" t="s">
        <v>2543</v>
      </c>
      <c r="C659" s="334" t="s">
        <v>2544</v>
      </c>
      <c r="D659" s="338" t="s">
        <v>2545</v>
      </c>
      <c r="E659" s="338">
        <v>18201702711</v>
      </c>
      <c r="F659" s="349" t="s">
        <v>641</v>
      </c>
      <c r="G659" s="338" t="s">
        <v>642</v>
      </c>
      <c r="H659" s="250" t="s">
        <v>18</v>
      </c>
      <c r="I659" s="218" t="s">
        <v>2511</v>
      </c>
      <c r="J659" s="181" t="s">
        <v>1105</v>
      </c>
    </row>
    <row r="660" spans="1:10">
      <c r="A660" s="276">
        <v>570</v>
      </c>
      <c r="B660" s="357" t="s">
        <v>2546</v>
      </c>
      <c r="C660" s="334" t="s">
        <v>2547</v>
      </c>
      <c r="D660" s="335" t="s">
        <v>2548</v>
      </c>
      <c r="E660" s="338">
        <v>18847610183</v>
      </c>
      <c r="F660" s="349" t="s">
        <v>641</v>
      </c>
      <c r="G660" s="338" t="s">
        <v>642</v>
      </c>
      <c r="H660" s="250" t="s">
        <v>18</v>
      </c>
      <c r="I660" s="218" t="s">
        <v>2511</v>
      </c>
      <c r="J660" s="181" t="s">
        <v>1105</v>
      </c>
    </row>
    <row r="661" spans="1:10">
      <c r="A661" s="276">
        <v>571</v>
      </c>
      <c r="B661" s="358" t="s">
        <v>2549</v>
      </c>
      <c r="C661" s="334" t="s">
        <v>2550</v>
      </c>
      <c r="D661" s="338" t="s">
        <v>2551</v>
      </c>
      <c r="E661" s="338">
        <v>13843124241</v>
      </c>
      <c r="F661" s="349" t="s">
        <v>641</v>
      </c>
      <c r="G661" s="338" t="s">
        <v>642</v>
      </c>
      <c r="H661" s="250" t="s">
        <v>18</v>
      </c>
      <c r="I661" s="206" t="s">
        <v>2552</v>
      </c>
      <c r="J661" s="181" t="s">
        <v>1105</v>
      </c>
    </row>
    <row r="662" spans="1:10">
      <c r="A662" s="276">
        <v>572</v>
      </c>
      <c r="B662" s="343" t="s">
        <v>2553</v>
      </c>
      <c r="C662" s="334" t="s">
        <v>2554</v>
      </c>
      <c r="D662" s="335" t="s">
        <v>2555</v>
      </c>
      <c r="E662" s="338">
        <v>13357229433</v>
      </c>
      <c r="F662" s="349" t="s">
        <v>641</v>
      </c>
      <c r="G662" s="338" t="s">
        <v>642</v>
      </c>
      <c r="H662" s="250" t="s">
        <v>18</v>
      </c>
      <c r="I662" s="206" t="s">
        <v>2552</v>
      </c>
      <c r="J662" s="181" t="s">
        <v>1105</v>
      </c>
    </row>
    <row r="663" spans="1:10">
      <c r="A663" s="276">
        <v>573</v>
      </c>
      <c r="B663" s="343" t="s">
        <v>2556</v>
      </c>
      <c r="C663" s="334" t="s">
        <v>2557</v>
      </c>
      <c r="D663" s="338" t="s">
        <v>2558</v>
      </c>
      <c r="E663" s="338">
        <v>18946612883</v>
      </c>
      <c r="F663" s="349" t="s">
        <v>641</v>
      </c>
      <c r="G663" s="338" t="s">
        <v>642</v>
      </c>
      <c r="H663" s="250" t="s">
        <v>18</v>
      </c>
      <c r="I663" s="206" t="s">
        <v>2552</v>
      </c>
      <c r="J663" s="181" t="s">
        <v>1105</v>
      </c>
    </row>
    <row r="664" spans="1:10">
      <c r="A664" s="276">
        <v>574</v>
      </c>
      <c r="B664" s="343" t="s">
        <v>2559</v>
      </c>
      <c r="C664" s="334" t="s">
        <v>2560</v>
      </c>
      <c r="D664" s="335" t="s">
        <v>2561</v>
      </c>
      <c r="E664" s="338">
        <v>15948149953</v>
      </c>
      <c r="F664" s="349" t="s">
        <v>641</v>
      </c>
      <c r="G664" s="338" t="s">
        <v>642</v>
      </c>
      <c r="H664" s="250" t="s">
        <v>18</v>
      </c>
      <c r="I664" s="206" t="s">
        <v>2552</v>
      </c>
      <c r="J664" s="181" t="s">
        <v>1157</v>
      </c>
    </row>
    <row r="665" spans="1:10">
      <c r="A665" s="276">
        <v>575</v>
      </c>
      <c r="B665" s="343" t="s">
        <v>2562</v>
      </c>
      <c r="C665" s="334" t="s">
        <v>2563</v>
      </c>
      <c r="D665" s="344" t="s">
        <v>2564</v>
      </c>
      <c r="E665" s="338">
        <v>18643053686</v>
      </c>
      <c r="F665" s="349" t="s">
        <v>641</v>
      </c>
      <c r="G665" s="338" t="s">
        <v>642</v>
      </c>
      <c r="H665" s="250" t="s">
        <v>18</v>
      </c>
      <c r="I665" s="206" t="s">
        <v>2552</v>
      </c>
      <c r="J665" s="181" t="s">
        <v>1105</v>
      </c>
    </row>
    <row r="666" spans="1:10">
      <c r="A666" s="276">
        <v>576</v>
      </c>
      <c r="B666" s="343" t="s">
        <v>2565</v>
      </c>
      <c r="C666" s="334" t="s">
        <v>2566</v>
      </c>
      <c r="D666" s="336" t="s">
        <v>2567</v>
      </c>
      <c r="E666" s="338">
        <v>13843806057</v>
      </c>
      <c r="F666" s="349" t="s">
        <v>641</v>
      </c>
      <c r="G666" s="338" t="s">
        <v>642</v>
      </c>
      <c r="H666" s="250" t="s">
        <v>18</v>
      </c>
      <c r="I666" s="206" t="s">
        <v>2552</v>
      </c>
      <c r="J666" s="181" t="s">
        <v>1105</v>
      </c>
    </row>
    <row r="667" spans="1:10">
      <c r="A667" s="276">
        <v>577</v>
      </c>
      <c r="B667" s="343" t="s">
        <v>2568</v>
      </c>
      <c r="C667" s="334" t="s">
        <v>2569</v>
      </c>
      <c r="D667" s="336" t="s">
        <v>2570</v>
      </c>
      <c r="E667" s="338">
        <v>13234439659</v>
      </c>
      <c r="F667" s="349" t="s">
        <v>641</v>
      </c>
      <c r="G667" s="338" t="s">
        <v>642</v>
      </c>
      <c r="H667" s="250" t="s">
        <v>18</v>
      </c>
      <c r="I667" s="206" t="s">
        <v>2552</v>
      </c>
      <c r="J667" s="181" t="s">
        <v>1105</v>
      </c>
    </row>
    <row r="668" spans="1:10">
      <c r="A668" s="276">
        <v>578</v>
      </c>
      <c r="B668" s="343" t="s">
        <v>2571</v>
      </c>
      <c r="C668" s="334" t="s">
        <v>2572</v>
      </c>
      <c r="D668" s="336" t="s">
        <v>2573</v>
      </c>
      <c r="E668" s="338">
        <v>17679282814</v>
      </c>
      <c r="F668" s="349" t="s">
        <v>641</v>
      </c>
      <c r="G668" s="338" t="s">
        <v>642</v>
      </c>
      <c r="H668" s="250" t="s">
        <v>18</v>
      </c>
      <c r="I668" s="206" t="s">
        <v>2552</v>
      </c>
      <c r="J668" s="181" t="s">
        <v>1105</v>
      </c>
    </row>
    <row r="669" spans="1:10">
      <c r="A669" s="276">
        <v>579</v>
      </c>
      <c r="B669" s="249" t="s">
        <v>2574</v>
      </c>
      <c r="C669" s="334" t="s">
        <v>2575</v>
      </c>
      <c r="D669" s="348" t="s">
        <v>2576</v>
      </c>
      <c r="E669" s="348" t="s">
        <v>2577</v>
      </c>
      <c r="F669" s="338" t="s">
        <v>2578</v>
      </c>
      <c r="G669" s="359" t="s">
        <v>2579</v>
      </c>
      <c r="H669" s="250" t="s">
        <v>18</v>
      </c>
      <c r="I669" s="206" t="s">
        <v>2552</v>
      </c>
      <c r="J669" s="181" t="s">
        <v>1105</v>
      </c>
    </row>
    <row r="670" spans="1:10">
      <c r="A670" s="276">
        <v>580</v>
      </c>
      <c r="B670" s="334" t="s">
        <v>2580</v>
      </c>
      <c r="C670" s="334" t="s">
        <v>2581</v>
      </c>
      <c r="D670" s="348" t="s">
        <v>2582</v>
      </c>
      <c r="E670" s="348" t="s">
        <v>2583</v>
      </c>
      <c r="F670" s="338" t="s">
        <v>2578</v>
      </c>
      <c r="G670" s="359" t="s">
        <v>2579</v>
      </c>
      <c r="H670" s="250" t="s">
        <v>18</v>
      </c>
      <c r="I670" s="206" t="s">
        <v>2552</v>
      </c>
      <c r="J670" s="181" t="s">
        <v>1157</v>
      </c>
    </row>
    <row r="671" spans="1:10">
      <c r="A671" s="276">
        <v>581</v>
      </c>
      <c r="B671" s="334" t="s">
        <v>2584</v>
      </c>
      <c r="C671" s="334" t="s">
        <v>2585</v>
      </c>
      <c r="D671" s="348" t="s">
        <v>2586</v>
      </c>
      <c r="E671" s="336" t="s">
        <v>2587</v>
      </c>
      <c r="F671" s="338" t="s">
        <v>2578</v>
      </c>
      <c r="G671" s="359" t="s">
        <v>2579</v>
      </c>
      <c r="H671" s="250" t="s">
        <v>18</v>
      </c>
      <c r="I671" s="206" t="s">
        <v>2552</v>
      </c>
      <c r="J671" s="181" t="s">
        <v>1105</v>
      </c>
    </row>
    <row r="672" spans="1:10">
      <c r="A672" s="276">
        <v>582</v>
      </c>
      <c r="B672" s="334" t="s">
        <v>2588</v>
      </c>
      <c r="C672" s="334" t="s">
        <v>2589</v>
      </c>
      <c r="D672" s="348" t="s">
        <v>2590</v>
      </c>
      <c r="E672" s="336" t="s">
        <v>2591</v>
      </c>
      <c r="F672" s="338" t="s">
        <v>2578</v>
      </c>
      <c r="G672" s="359" t="s">
        <v>2579</v>
      </c>
      <c r="H672" s="250" t="s">
        <v>18</v>
      </c>
      <c r="I672" s="206" t="s">
        <v>2552</v>
      </c>
      <c r="J672" s="181" t="s">
        <v>1157</v>
      </c>
    </row>
    <row r="673" spans="1:11">
      <c r="A673" s="276">
        <v>583</v>
      </c>
      <c r="B673" s="334" t="s">
        <v>2592</v>
      </c>
      <c r="C673" s="334" t="s">
        <v>2593</v>
      </c>
      <c r="D673" s="348" t="s">
        <v>2594</v>
      </c>
      <c r="E673" s="336" t="s">
        <v>2595</v>
      </c>
      <c r="F673" s="338" t="s">
        <v>2578</v>
      </c>
      <c r="G673" s="359" t="s">
        <v>2579</v>
      </c>
      <c r="H673" s="250" t="s">
        <v>18</v>
      </c>
      <c r="I673" s="206" t="s">
        <v>2552</v>
      </c>
      <c r="J673" s="181" t="s">
        <v>1105</v>
      </c>
      <c r="K673" s="181"/>
    </row>
    <row r="674" spans="1:11">
      <c r="A674" s="276">
        <v>584</v>
      </c>
      <c r="B674" s="334" t="s">
        <v>2596</v>
      </c>
      <c r="C674" s="334" t="s">
        <v>2597</v>
      </c>
      <c r="D674" s="348" t="s">
        <v>2598</v>
      </c>
      <c r="E674" s="336" t="s">
        <v>2599</v>
      </c>
      <c r="F674" s="338" t="s">
        <v>2578</v>
      </c>
      <c r="G674" s="359" t="s">
        <v>2579</v>
      </c>
      <c r="H674" s="250" t="s">
        <v>18</v>
      </c>
      <c r="I674" s="206" t="s">
        <v>2552</v>
      </c>
      <c r="J674" s="181" t="s">
        <v>1105</v>
      </c>
      <c r="K674" s="181"/>
    </row>
    <row r="675" spans="1:11">
      <c r="A675" s="276">
        <v>585</v>
      </c>
      <c r="B675" s="334" t="s">
        <v>2600</v>
      </c>
      <c r="C675" s="334" t="s">
        <v>2601</v>
      </c>
      <c r="D675" s="348" t="s">
        <v>2602</v>
      </c>
      <c r="E675" s="336" t="s">
        <v>2603</v>
      </c>
      <c r="F675" s="338" t="s">
        <v>2578</v>
      </c>
      <c r="G675" s="359" t="s">
        <v>2579</v>
      </c>
      <c r="H675" s="250" t="s">
        <v>18</v>
      </c>
      <c r="I675" s="218" t="s">
        <v>2604</v>
      </c>
      <c r="J675" s="181" t="s">
        <v>1105</v>
      </c>
      <c r="K675" s="181"/>
    </row>
    <row r="676" spans="1:11">
      <c r="A676" s="276">
        <v>586</v>
      </c>
      <c r="B676" s="334" t="s">
        <v>2605</v>
      </c>
      <c r="C676" s="334" t="s">
        <v>2606</v>
      </c>
      <c r="D676" s="348" t="s">
        <v>2607</v>
      </c>
      <c r="E676" s="336" t="s">
        <v>2608</v>
      </c>
      <c r="F676" s="338" t="s">
        <v>2578</v>
      </c>
      <c r="G676" s="359" t="s">
        <v>2579</v>
      </c>
      <c r="H676" s="250" t="s">
        <v>18</v>
      </c>
      <c r="I676" s="218" t="s">
        <v>2604</v>
      </c>
      <c r="J676" s="181" t="s">
        <v>1105</v>
      </c>
      <c r="K676" s="181"/>
    </row>
    <row r="677" spans="1:11">
      <c r="A677" s="276">
        <v>587</v>
      </c>
      <c r="B677" s="334" t="s">
        <v>2609</v>
      </c>
      <c r="C677" s="334" t="s">
        <v>2610</v>
      </c>
      <c r="D677" s="338" t="s">
        <v>2611</v>
      </c>
      <c r="E677" s="336" t="s">
        <v>2612</v>
      </c>
      <c r="F677" s="338" t="s">
        <v>2613</v>
      </c>
      <c r="G677" s="338" t="s">
        <v>2614</v>
      </c>
      <c r="H677" s="250" t="s">
        <v>18</v>
      </c>
      <c r="I677" s="218" t="s">
        <v>2604</v>
      </c>
      <c r="J677" s="181" t="s">
        <v>1105</v>
      </c>
      <c r="K677" s="181"/>
    </row>
    <row r="678" spans="1:11">
      <c r="A678" s="276">
        <v>588</v>
      </c>
      <c r="B678" s="334" t="s">
        <v>2615</v>
      </c>
      <c r="C678" s="334" t="s">
        <v>2616</v>
      </c>
      <c r="D678" s="335" t="s">
        <v>2617</v>
      </c>
      <c r="E678" s="338">
        <v>18255184125</v>
      </c>
      <c r="F678" s="338" t="s">
        <v>2613</v>
      </c>
      <c r="G678" s="338" t="s">
        <v>2614</v>
      </c>
      <c r="H678" s="250" t="s">
        <v>18</v>
      </c>
      <c r="I678" s="218" t="s">
        <v>2604</v>
      </c>
      <c r="J678" s="181" t="s">
        <v>1157</v>
      </c>
      <c r="K678" s="181" t="s">
        <v>2466</v>
      </c>
    </row>
    <row r="679" spans="1:11">
      <c r="A679" s="276">
        <v>589</v>
      </c>
      <c r="B679" s="334" t="s">
        <v>2618</v>
      </c>
      <c r="C679" s="334" t="s">
        <v>2619</v>
      </c>
      <c r="D679" s="335" t="s">
        <v>2620</v>
      </c>
      <c r="E679" s="336" t="s">
        <v>2621</v>
      </c>
      <c r="F679" s="338" t="s">
        <v>2613</v>
      </c>
      <c r="G679" s="338" t="s">
        <v>2614</v>
      </c>
      <c r="H679" s="250" t="s">
        <v>18</v>
      </c>
      <c r="I679" s="218" t="s">
        <v>2604</v>
      </c>
      <c r="J679" s="181" t="s">
        <v>1105</v>
      </c>
      <c r="K679" s="181"/>
    </row>
    <row r="680" spans="1:11">
      <c r="A680" s="276">
        <v>590</v>
      </c>
      <c r="B680" s="334" t="s">
        <v>2622</v>
      </c>
      <c r="C680" s="334" t="s">
        <v>2623</v>
      </c>
      <c r="D680" s="335" t="s">
        <v>2624</v>
      </c>
      <c r="E680" s="336" t="s">
        <v>2625</v>
      </c>
      <c r="F680" s="338" t="s">
        <v>2613</v>
      </c>
      <c r="G680" s="338" t="s">
        <v>2614</v>
      </c>
      <c r="H680" s="250" t="s">
        <v>18</v>
      </c>
      <c r="I680" s="218" t="s">
        <v>2604</v>
      </c>
      <c r="J680" s="181" t="s">
        <v>1105</v>
      </c>
      <c r="K680" s="181"/>
    </row>
    <row r="681" spans="1:11">
      <c r="A681" s="276">
        <v>591</v>
      </c>
      <c r="B681" s="334" t="s">
        <v>2626</v>
      </c>
      <c r="C681" s="334" t="s">
        <v>2627</v>
      </c>
      <c r="D681" s="336" t="s">
        <v>2628</v>
      </c>
      <c r="E681" s="336" t="s">
        <v>2629</v>
      </c>
      <c r="F681" s="337" t="s">
        <v>2613</v>
      </c>
      <c r="G681" s="338" t="s">
        <v>2614</v>
      </c>
      <c r="H681" s="250" t="s">
        <v>18</v>
      </c>
      <c r="I681" s="218" t="s">
        <v>2604</v>
      </c>
      <c r="J681" s="181" t="s">
        <v>1105</v>
      </c>
      <c r="K681" s="181"/>
    </row>
    <row r="682" spans="1:11">
      <c r="A682" s="276">
        <v>592</v>
      </c>
      <c r="B682" s="334" t="s">
        <v>2630</v>
      </c>
      <c r="C682" s="334" t="s">
        <v>2631</v>
      </c>
      <c r="D682" s="336" t="s">
        <v>2632</v>
      </c>
      <c r="E682" s="338">
        <v>18756001421</v>
      </c>
      <c r="F682" s="337" t="s">
        <v>2613</v>
      </c>
      <c r="G682" s="338" t="s">
        <v>2614</v>
      </c>
      <c r="H682" s="250" t="s">
        <v>18</v>
      </c>
      <c r="I682" s="218" t="s">
        <v>2604</v>
      </c>
      <c r="J682" s="181" t="s">
        <v>1105</v>
      </c>
      <c r="K682" s="181"/>
    </row>
    <row r="683" spans="1:11">
      <c r="A683" s="276">
        <v>593</v>
      </c>
      <c r="B683" s="334" t="s">
        <v>2633</v>
      </c>
      <c r="C683" s="334" t="s">
        <v>2634</v>
      </c>
      <c r="D683" s="336" t="s">
        <v>2635</v>
      </c>
      <c r="E683" s="336" t="s">
        <v>2636</v>
      </c>
      <c r="F683" s="337" t="s">
        <v>2613</v>
      </c>
      <c r="G683" s="338" t="s">
        <v>2614</v>
      </c>
      <c r="H683" s="250" t="s">
        <v>18</v>
      </c>
      <c r="I683" s="218" t="s">
        <v>2604</v>
      </c>
      <c r="J683" s="181" t="s">
        <v>1105</v>
      </c>
      <c r="K683" s="181"/>
    </row>
    <row r="684" spans="1:11">
      <c r="A684" s="276">
        <v>594</v>
      </c>
      <c r="B684" s="334" t="s">
        <v>2637</v>
      </c>
      <c r="C684" s="334" t="s">
        <v>2638</v>
      </c>
      <c r="D684" s="336" t="s">
        <v>2639</v>
      </c>
      <c r="E684" s="336" t="s">
        <v>2640</v>
      </c>
      <c r="F684" s="337" t="s">
        <v>2613</v>
      </c>
      <c r="G684" s="338" t="s">
        <v>2614</v>
      </c>
      <c r="H684" s="250" t="s">
        <v>18</v>
      </c>
      <c r="I684" s="218" t="s">
        <v>2604</v>
      </c>
      <c r="J684" s="181" t="s">
        <v>1105</v>
      </c>
      <c r="K684" s="181"/>
    </row>
    <row r="685" spans="1:11">
      <c r="A685" s="276">
        <v>595</v>
      </c>
      <c r="B685" s="334" t="s">
        <v>2641</v>
      </c>
      <c r="C685" s="334" t="s">
        <v>2642</v>
      </c>
      <c r="D685" s="348" t="s">
        <v>2643</v>
      </c>
      <c r="E685" s="335">
        <v>15332087787</v>
      </c>
      <c r="F685" s="337" t="s">
        <v>2613</v>
      </c>
      <c r="G685" s="338" t="s">
        <v>2614</v>
      </c>
      <c r="H685" s="250" t="s">
        <v>18</v>
      </c>
      <c r="I685" s="218" t="s">
        <v>2604</v>
      </c>
      <c r="J685" s="181" t="s">
        <v>1105</v>
      </c>
      <c r="K685" s="181"/>
    </row>
    <row r="686" spans="1:11">
      <c r="A686" s="276">
        <v>596</v>
      </c>
      <c r="B686" s="334" t="s">
        <v>2644</v>
      </c>
      <c r="C686" s="334" t="s">
        <v>2645</v>
      </c>
      <c r="D686" s="348" t="s">
        <v>2646</v>
      </c>
      <c r="E686" s="336" t="s">
        <v>2647</v>
      </c>
      <c r="F686" s="337" t="s">
        <v>2613</v>
      </c>
      <c r="G686" s="338" t="s">
        <v>2614</v>
      </c>
      <c r="H686" s="250" t="s">
        <v>18</v>
      </c>
      <c r="I686" s="218" t="s">
        <v>2604</v>
      </c>
      <c r="J686" s="181" t="s">
        <v>1105</v>
      </c>
      <c r="K686" s="181"/>
    </row>
    <row r="687" spans="1:11">
      <c r="A687" s="276">
        <v>597</v>
      </c>
      <c r="B687" s="334" t="s">
        <v>2648</v>
      </c>
      <c r="C687" s="334" t="s">
        <v>2649</v>
      </c>
      <c r="D687" s="335" t="s">
        <v>2650</v>
      </c>
      <c r="E687" s="335">
        <v>18098381397</v>
      </c>
      <c r="F687" s="337" t="s">
        <v>2613</v>
      </c>
      <c r="G687" s="338" t="s">
        <v>2614</v>
      </c>
      <c r="H687" s="250" t="s">
        <v>18</v>
      </c>
      <c r="I687" s="218" t="s">
        <v>2604</v>
      </c>
      <c r="J687" s="181" t="s">
        <v>1105</v>
      </c>
      <c r="K687" s="181"/>
    </row>
    <row r="688" spans="1:11">
      <c r="A688" s="276">
        <v>598</v>
      </c>
      <c r="B688" s="334" t="s">
        <v>2651</v>
      </c>
      <c r="C688" s="334" t="s">
        <v>2652</v>
      </c>
      <c r="D688" s="335" t="s">
        <v>2653</v>
      </c>
      <c r="E688" s="336" t="s">
        <v>2654</v>
      </c>
      <c r="F688" s="337" t="s">
        <v>2613</v>
      </c>
      <c r="G688" s="338" t="s">
        <v>2614</v>
      </c>
      <c r="H688" s="250" t="s">
        <v>18</v>
      </c>
      <c r="I688" s="218" t="s">
        <v>2604</v>
      </c>
      <c r="J688" s="181" t="s">
        <v>1105</v>
      </c>
      <c r="K688" s="181"/>
    </row>
    <row r="689" spans="1:11">
      <c r="A689" s="276">
        <v>599</v>
      </c>
      <c r="B689" s="360" t="s">
        <v>2655</v>
      </c>
      <c r="C689" s="361" t="s">
        <v>2656</v>
      </c>
      <c r="D689" s="362" t="s">
        <v>2657</v>
      </c>
      <c r="E689" s="363">
        <v>15155293096</v>
      </c>
      <c r="F689" s="257" t="s">
        <v>2452</v>
      </c>
      <c r="G689" s="258" t="s">
        <v>2453</v>
      </c>
      <c r="H689" s="250" t="s">
        <v>18</v>
      </c>
      <c r="I689" s="361" t="s">
        <v>2658</v>
      </c>
      <c r="J689" s="181" t="s">
        <v>1105</v>
      </c>
      <c r="K689" s="181"/>
    </row>
    <row r="690" spans="1:11">
      <c r="A690" s="276">
        <v>600</v>
      </c>
      <c r="B690" s="364" t="s">
        <v>2284</v>
      </c>
      <c r="C690" s="364" t="s">
        <v>2285</v>
      </c>
      <c r="D690" s="365" t="s">
        <v>2286</v>
      </c>
      <c r="E690" s="365" t="s">
        <v>2287</v>
      </c>
      <c r="F690" s="257" t="s">
        <v>2452</v>
      </c>
      <c r="G690" s="258" t="s">
        <v>2453</v>
      </c>
      <c r="H690" s="250" t="s">
        <v>96</v>
      </c>
      <c r="I690" s="361" t="s">
        <v>2658</v>
      </c>
      <c r="J690" s="181" t="s">
        <v>1105</v>
      </c>
      <c r="K690" s="181"/>
    </row>
    <row r="691" spans="1:11">
      <c r="A691" s="276">
        <v>601</v>
      </c>
      <c r="B691" s="364" t="s">
        <v>2291</v>
      </c>
      <c r="C691" s="364" t="s">
        <v>2292</v>
      </c>
      <c r="D691" s="365" t="s">
        <v>2293</v>
      </c>
      <c r="E691" s="365" t="s">
        <v>2294</v>
      </c>
      <c r="F691" s="257" t="s">
        <v>2452</v>
      </c>
      <c r="G691" s="258" t="s">
        <v>2453</v>
      </c>
      <c r="H691" s="250" t="s">
        <v>96</v>
      </c>
      <c r="I691" s="361" t="s">
        <v>2658</v>
      </c>
      <c r="J691" s="181" t="s">
        <v>1157</v>
      </c>
      <c r="K691" s="181"/>
    </row>
    <row r="692" spans="1:11">
      <c r="A692" s="276">
        <v>602</v>
      </c>
      <c r="B692" s="364" t="s">
        <v>2295</v>
      </c>
      <c r="C692" s="364" t="s">
        <v>2296</v>
      </c>
      <c r="D692" s="365" t="s">
        <v>2297</v>
      </c>
      <c r="E692" s="365" t="s">
        <v>2298</v>
      </c>
      <c r="F692" s="257" t="s">
        <v>2452</v>
      </c>
      <c r="G692" s="258" t="s">
        <v>2453</v>
      </c>
      <c r="H692" s="250" t="s">
        <v>96</v>
      </c>
      <c r="I692" s="361" t="s">
        <v>2658</v>
      </c>
      <c r="J692" s="181" t="s">
        <v>1157</v>
      </c>
      <c r="K692" s="181" t="s">
        <v>2466</v>
      </c>
    </row>
    <row r="693" spans="1:11">
      <c r="A693" s="276">
        <v>603</v>
      </c>
      <c r="B693" s="364" t="s">
        <v>2299</v>
      </c>
      <c r="C693" s="364" t="s">
        <v>2300</v>
      </c>
      <c r="D693" s="365" t="s">
        <v>2301</v>
      </c>
      <c r="E693" s="365" t="s">
        <v>2302</v>
      </c>
      <c r="F693" s="257" t="s">
        <v>2452</v>
      </c>
      <c r="G693" s="258" t="s">
        <v>2453</v>
      </c>
      <c r="H693" s="250" t="s">
        <v>96</v>
      </c>
      <c r="I693" s="361" t="s">
        <v>2658</v>
      </c>
      <c r="J693" s="181" t="s">
        <v>1157</v>
      </c>
      <c r="K693" s="181"/>
    </row>
    <row r="694" spans="1:11">
      <c r="A694" s="276">
        <v>604</v>
      </c>
      <c r="B694" s="364" t="s">
        <v>2303</v>
      </c>
      <c r="C694" s="364" t="s">
        <v>2304</v>
      </c>
      <c r="D694" s="365" t="s">
        <v>2305</v>
      </c>
      <c r="E694" s="365" t="s">
        <v>2306</v>
      </c>
      <c r="F694" s="257" t="s">
        <v>2452</v>
      </c>
      <c r="G694" s="258" t="s">
        <v>2453</v>
      </c>
      <c r="H694" s="250" t="s">
        <v>96</v>
      </c>
      <c r="I694" s="361" t="s">
        <v>2658</v>
      </c>
      <c r="J694" s="181" t="s">
        <v>1157</v>
      </c>
      <c r="K694" s="181"/>
    </row>
    <row r="695" spans="1:11">
      <c r="A695" s="276">
        <v>605</v>
      </c>
      <c r="B695" s="364" t="s">
        <v>2307</v>
      </c>
      <c r="C695" s="364" t="s">
        <v>2308</v>
      </c>
      <c r="D695" s="365" t="s">
        <v>2309</v>
      </c>
      <c r="E695" s="366">
        <v>18343108513</v>
      </c>
      <c r="F695" s="257" t="s">
        <v>2452</v>
      </c>
      <c r="G695" s="258" t="s">
        <v>2453</v>
      </c>
      <c r="H695" s="250" t="s">
        <v>18</v>
      </c>
      <c r="I695" s="361" t="s">
        <v>2658</v>
      </c>
      <c r="J695" s="181" t="s">
        <v>1157</v>
      </c>
      <c r="K695" s="181"/>
    </row>
    <row r="696" spans="1:11">
      <c r="A696" s="276">
        <v>606</v>
      </c>
      <c r="B696" s="364" t="s">
        <v>2311</v>
      </c>
      <c r="C696" s="364" t="s">
        <v>2312</v>
      </c>
      <c r="D696" s="365" t="s">
        <v>2313</v>
      </c>
      <c r="E696" s="366">
        <v>13578755850</v>
      </c>
      <c r="F696" s="257" t="s">
        <v>2452</v>
      </c>
      <c r="G696" s="258" t="s">
        <v>2453</v>
      </c>
      <c r="H696" s="250" t="s">
        <v>18</v>
      </c>
      <c r="I696" s="361" t="s">
        <v>2658</v>
      </c>
      <c r="J696" s="181" t="s">
        <v>1105</v>
      </c>
      <c r="K696" s="181"/>
    </row>
    <row r="697" spans="1:11">
      <c r="A697" s="276">
        <v>607</v>
      </c>
      <c r="B697" s="364" t="s">
        <v>2314</v>
      </c>
      <c r="C697" s="364" t="s">
        <v>2315</v>
      </c>
      <c r="D697" s="365" t="s">
        <v>2316</v>
      </c>
      <c r="E697" s="366">
        <v>15567772402</v>
      </c>
      <c r="F697" s="257" t="s">
        <v>2452</v>
      </c>
      <c r="G697" s="258" t="s">
        <v>2453</v>
      </c>
      <c r="H697" s="250" t="s">
        <v>18</v>
      </c>
      <c r="I697" s="361" t="s">
        <v>2658</v>
      </c>
      <c r="J697" s="181" t="s">
        <v>1105</v>
      </c>
      <c r="K697" s="181"/>
    </row>
    <row r="698" spans="1:11">
      <c r="A698" s="276">
        <v>608</v>
      </c>
      <c r="B698" s="364" t="s">
        <v>2317</v>
      </c>
      <c r="C698" s="364" t="s">
        <v>2318</v>
      </c>
      <c r="D698" s="365" t="s">
        <v>2319</v>
      </c>
      <c r="E698" s="366">
        <v>17843114711</v>
      </c>
      <c r="F698" s="257" t="s">
        <v>2452</v>
      </c>
      <c r="G698" s="258" t="s">
        <v>2453</v>
      </c>
      <c r="H698" s="250" t="s">
        <v>18</v>
      </c>
      <c r="I698" s="361" t="s">
        <v>2658</v>
      </c>
      <c r="J698" s="181" t="s">
        <v>1105</v>
      </c>
      <c r="K698" s="181"/>
    </row>
    <row r="699" spans="1:11">
      <c r="A699" s="276">
        <v>609</v>
      </c>
      <c r="B699" s="364" t="s">
        <v>2320</v>
      </c>
      <c r="C699" s="364" t="s">
        <v>2321</v>
      </c>
      <c r="D699" s="365" t="s">
        <v>2322</v>
      </c>
      <c r="E699" s="366">
        <v>15774472353</v>
      </c>
      <c r="F699" s="257" t="s">
        <v>2452</v>
      </c>
      <c r="G699" s="258" t="s">
        <v>2453</v>
      </c>
      <c r="H699" s="250" t="s">
        <v>18</v>
      </c>
      <c r="I699" s="361" t="s">
        <v>2658</v>
      </c>
      <c r="J699" s="181" t="s">
        <v>1105</v>
      </c>
      <c r="K699" s="181"/>
    </row>
    <row r="700" spans="1:11">
      <c r="A700" s="276">
        <v>610</v>
      </c>
      <c r="B700" s="364" t="s">
        <v>2323</v>
      </c>
      <c r="C700" s="364" t="s">
        <v>2324</v>
      </c>
      <c r="D700" s="365" t="s">
        <v>2325</v>
      </c>
      <c r="E700" s="366">
        <v>18043034605</v>
      </c>
      <c r="F700" s="257" t="s">
        <v>2452</v>
      </c>
      <c r="G700" s="258" t="s">
        <v>2453</v>
      </c>
      <c r="H700" s="250" t="s">
        <v>18</v>
      </c>
      <c r="I700" s="361" t="s">
        <v>2658</v>
      </c>
      <c r="J700" s="181" t="s">
        <v>1105</v>
      </c>
      <c r="K700" s="181"/>
    </row>
    <row r="701" spans="1:11">
      <c r="A701" s="276">
        <v>611</v>
      </c>
      <c r="B701" s="364" t="s">
        <v>2326</v>
      </c>
      <c r="C701" s="364" t="s">
        <v>2327</v>
      </c>
      <c r="D701" s="365" t="s">
        <v>2328</v>
      </c>
      <c r="E701" s="366">
        <v>15021182373</v>
      </c>
      <c r="F701" s="257" t="s">
        <v>2452</v>
      </c>
      <c r="G701" s="258" t="s">
        <v>2453</v>
      </c>
      <c r="H701" s="250" t="s">
        <v>18</v>
      </c>
      <c r="I701" s="361" t="s">
        <v>2658</v>
      </c>
      <c r="J701" s="181" t="s">
        <v>1105</v>
      </c>
      <c r="K701" s="181"/>
    </row>
    <row r="702" spans="1:11">
      <c r="A702" s="276">
        <v>612</v>
      </c>
      <c r="B702" s="364" t="s">
        <v>2329</v>
      </c>
      <c r="C702" s="364" t="s">
        <v>2330</v>
      </c>
      <c r="D702" s="365" t="s">
        <v>2331</v>
      </c>
      <c r="E702" s="366">
        <v>15143095388</v>
      </c>
      <c r="F702" s="257" t="s">
        <v>2452</v>
      </c>
      <c r="G702" s="258" t="s">
        <v>2453</v>
      </c>
      <c r="H702" s="250" t="s">
        <v>18</v>
      </c>
      <c r="I702" s="361" t="s">
        <v>2658</v>
      </c>
      <c r="J702" s="181" t="s">
        <v>1105</v>
      </c>
      <c r="K702" s="181"/>
    </row>
    <row r="703" spans="1:11" s="181" customFormat="1">
      <c r="A703" s="263"/>
      <c r="B703" s="193"/>
      <c r="C703" s="193"/>
      <c r="D703" s="113"/>
      <c r="E703" s="259"/>
      <c r="F703" s="260"/>
      <c r="G703" s="261"/>
      <c r="H703" s="262"/>
      <c r="I703" s="367"/>
    </row>
    <row r="704" spans="1:11">
      <c r="A704" s="276">
        <v>613</v>
      </c>
      <c r="B704" s="16" t="s">
        <v>2203</v>
      </c>
      <c r="C704" s="16" t="s">
        <v>2204</v>
      </c>
      <c r="D704" s="16" t="s">
        <v>2205</v>
      </c>
      <c r="E704" s="366">
        <v>18638185835</v>
      </c>
      <c r="F704" s="16" t="s">
        <v>2195</v>
      </c>
      <c r="G704" s="16" t="s">
        <v>2196</v>
      </c>
      <c r="H704" s="108" t="s">
        <v>1844</v>
      </c>
      <c r="I704" s="368" t="s">
        <v>2659</v>
      </c>
      <c r="J704" s="181" t="s">
        <v>1105</v>
      </c>
      <c r="K704" s="181"/>
    </row>
    <row r="705" spans="1:10">
      <c r="A705" s="276">
        <v>614</v>
      </c>
      <c r="B705" s="16" t="s">
        <v>2660</v>
      </c>
      <c r="C705" s="16" t="s">
        <v>2661</v>
      </c>
      <c r="D705" s="16" t="s">
        <v>2662</v>
      </c>
      <c r="E705" s="366">
        <v>18004403358</v>
      </c>
      <c r="F705" s="16" t="s">
        <v>2195</v>
      </c>
      <c r="G705" s="16" t="s">
        <v>2196</v>
      </c>
      <c r="H705" s="108" t="s">
        <v>1844</v>
      </c>
      <c r="I705" s="368" t="s">
        <v>2659</v>
      </c>
      <c r="J705" s="181" t="s">
        <v>1105</v>
      </c>
    </row>
    <row r="706" spans="1:10">
      <c r="A706" s="276">
        <v>615</v>
      </c>
      <c r="B706" s="16" t="s">
        <v>2663</v>
      </c>
      <c r="C706" s="16" t="s">
        <v>2664</v>
      </c>
      <c r="D706" s="16" t="s">
        <v>2665</v>
      </c>
      <c r="E706" s="366">
        <v>15230961211</v>
      </c>
      <c r="F706" s="16" t="s">
        <v>2195</v>
      </c>
      <c r="G706" s="16" t="s">
        <v>2196</v>
      </c>
      <c r="H706" s="108" t="s">
        <v>1844</v>
      </c>
      <c r="I706" s="368" t="s">
        <v>2659</v>
      </c>
      <c r="J706" s="181" t="s">
        <v>1105</v>
      </c>
    </row>
    <row r="707" spans="1:10">
      <c r="A707" s="276">
        <v>616</v>
      </c>
      <c r="B707" s="16" t="s">
        <v>2278</v>
      </c>
      <c r="C707" s="16" t="s">
        <v>2279</v>
      </c>
      <c r="D707" s="16" t="s">
        <v>2280</v>
      </c>
      <c r="E707" s="366" t="s">
        <v>2281</v>
      </c>
      <c r="F707" s="16" t="s">
        <v>2282</v>
      </c>
      <c r="G707" s="16" t="s">
        <v>2283</v>
      </c>
      <c r="H707" s="108" t="s">
        <v>1844</v>
      </c>
      <c r="I707" s="368" t="s">
        <v>2659</v>
      </c>
      <c r="J707" s="181" t="s">
        <v>1157</v>
      </c>
    </row>
    <row r="708" spans="1:10">
      <c r="A708" s="276">
        <v>617</v>
      </c>
      <c r="B708" s="16" t="s">
        <v>2666</v>
      </c>
      <c r="C708" s="16" t="s">
        <v>2667</v>
      </c>
      <c r="D708" s="16" t="s">
        <v>2668</v>
      </c>
      <c r="E708" s="16" t="s">
        <v>2669</v>
      </c>
      <c r="F708" s="16" t="s">
        <v>2122</v>
      </c>
      <c r="G708" s="16" t="s">
        <v>2670</v>
      </c>
      <c r="H708" s="108" t="s">
        <v>1844</v>
      </c>
      <c r="I708" s="368" t="s">
        <v>2659</v>
      </c>
      <c r="J708" s="181" t="s">
        <v>1105</v>
      </c>
    </row>
    <row r="709" spans="1:10">
      <c r="A709" s="276">
        <v>618</v>
      </c>
      <c r="B709" s="16" t="s">
        <v>2671</v>
      </c>
      <c r="C709" s="16" t="s">
        <v>2672</v>
      </c>
      <c r="D709" s="16" t="s">
        <v>2673</v>
      </c>
      <c r="E709" s="16" t="s">
        <v>2674</v>
      </c>
      <c r="F709" s="16" t="s">
        <v>2122</v>
      </c>
      <c r="G709" s="16" t="s">
        <v>2670</v>
      </c>
      <c r="H709" s="108" t="s">
        <v>1844</v>
      </c>
      <c r="I709" s="368" t="s">
        <v>2659</v>
      </c>
      <c r="J709" s="181" t="s">
        <v>1105</v>
      </c>
    </row>
    <row r="710" spans="1:10">
      <c r="A710" s="276">
        <v>619</v>
      </c>
      <c r="B710" s="16" t="s">
        <v>2675</v>
      </c>
      <c r="C710" s="16" t="s">
        <v>2676</v>
      </c>
      <c r="D710" s="16" t="s">
        <v>2677</v>
      </c>
      <c r="E710" s="16" t="s">
        <v>2678</v>
      </c>
      <c r="F710" s="16" t="s">
        <v>2122</v>
      </c>
      <c r="G710" s="16" t="s">
        <v>2670</v>
      </c>
      <c r="H710" s="108" t="s">
        <v>1844</v>
      </c>
      <c r="I710" s="368" t="s">
        <v>2659</v>
      </c>
      <c r="J710" s="181" t="s">
        <v>1105</v>
      </c>
    </row>
    <row r="711" spans="1:10">
      <c r="A711" s="276">
        <v>620</v>
      </c>
      <c r="B711" s="16" t="s">
        <v>2679</v>
      </c>
      <c r="C711" s="16" t="s">
        <v>2680</v>
      </c>
      <c r="D711" s="16" t="s">
        <v>2681</v>
      </c>
      <c r="E711" s="16" t="s">
        <v>2682</v>
      </c>
      <c r="F711" s="16" t="s">
        <v>2122</v>
      </c>
      <c r="G711" s="16" t="s">
        <v>2670</v>
      </c>
      <c r="H711" s="108" t="s">
        <v>1844</v>
      </c>
      <c r="I711" s="368" t="s">
        <v>2659</v>
      </c>
      <c r="J711" s="181" t="s">
        <v>1105</v>
      </c>
    </row>
    <row r="712" spans="1:10">
      <c r="A712" s="276">
        <v>621</v>
      </c>
      <c r="B712" s="16" t="s">
        <v>2683</v>
      </c>
      <c r="C712" s="16" t="s">
        <v>2684</v>
      </c>
      <c r="D712" s="16" t="s">
        <v>2685</v>
      </c>
      <c r="E712" s="16" t="s">
        <v>2686</v>
      </c>
      <c r="F712" s="16" t="s">
        <v>2122</v>
      </c>
      <c r="G712" s="16" t="s">
        <v>2670</v>
      </c>
      <c r="H712" s="108" t="s">
        <v>1844</v>
      </c>
      <c r="I712" s="368" t="s">
        <v>2659</v>
      </c>
      <c r="J712" s="181" t="s">
        <v>1105</v>
      </c>
    </row>
    <row r="713" spans="1:10">
      <c r="A713" s="276">
        <v>622</v>
      </c>
      <c r="B713" s="16" t="s">
        <v>2687</v>
      </c>
      <c r="C713" s="16" t="s">
        <v>2688</v>
      </c>
      <c r="D713" s="16" t="s">
        <v>2689</v>
      </c>
      <c r="E713" s="16" t="s">
        <v>2690</v>
      </c>
      <c r="F713" s="16" t="s">
        <v>2122</v>
      </c>
      <c r="G713" s="16" t="s">
        <v>2670</v>
      </c>
      <c r="H713" s="108" t="s">
        <v>1844</v>
      </c>
      <c r="I713" s="368" t="s">
        <v>2659</v>
      </c>
      <c r="J713" s="181" t="s">
        <v>1105</v>
      </c>
    </row>
    <row r="714" spans="1:10">
      <c r="A714" s="276">
        <v>623</v>
      </c>
      <c r="B714" s="16" t="s">
        <v>2691</v>
      </c>
      <c r="C714" s="16" t="s">
        <v>2692</v>
      </c>
      <c r="D714" s="16" t="s">
        <v>2693</v>
      </c>
      <c r="E714" s="366">
        <v>15055197573</v>
      </c>
      <c r="F714" s="16" t="s">
        <v>755</v>
      </c>
      <c r="G714" s="16" t="s">
        <v>642</v>
      </c>
      <c r="H714" s="108" t="s">
        <v>1844</v>
      </c>
      <c r="I714" s="369" t="s">
        <v>2694</v>
      </c>
      <c r="J714" s="181" t="s">
        <v>1157</v>
      </c>
    </row>
    <row r="715" spans="1:10">
      <c r="A715" s="276">
        <v>624</v>
      </c>
      <c r="B715" s="16" t="s">
        <v>2695</v>
      </c>
      <c r="C715" s="16" t="s">
        <v>2696</v>
      </c>
      <c r="D715" s="16" t="s">
        <v>2697</v>
      </c>
      <c r="E715" s="366">
        <v>19352783598</v>
      </c>
      <c r="F715" s="16" t="s">
        <v>755</v>
      </c>
      <c r="G715" s="16" t="s">
        <v>642</v>
      </c>
      <c r="H715" s="108" t="s">
        <v>1844</v>
      </c>
      <c r="I715" s="369" t="s">
        <v>2694</v>
      </c>
      <c r="J715" s="181" t="s">
        <v>1157</v>
      </c>
    </row>
    <row r="716" spans="1:10">
      <c r="A716" s="276">
        <v>625</v>
      </c>
      <c r="B716" s="16" t="s">
        <v>2698</v>
      </c>
      <c r="C716" s="16" t="s">
        <v>2470</v>
      </c>
      <c r="D716" s="16" t="s">
        <v>2471</v>
      </c>
      <c r="E716" s="366">
        <v>17538363736</v>
      </c>
      <c r="F716" s="16" t="s">
        <v>641</v>
      </c>
      <c r="G716" s="16" t="s">
        <v>642</v>
      </c>
      <c r="H716" s="108" t="s">
        <v>1844</v>
      </c>
      <c r="I716" s="369" t="s">
        <v>2694</v>
      </c>
      <c r="J716" s="181" t="s">
        <v>1105</v>
      </c>
    </row>
    <row r="717" spans="1:10">
      <c r="A717" s="276">
        <v>626</v>
      </c>
      <c r="B717" s="16" t="s">
        <v>2699</v>
      </c>
      <c r="C717" s="16" t="s">
        <v>2700</v>
      </c>
      <c r="D717" s="16" t="s">
        <v>2701</v>
      </c>
      <c r="E717" s="366">
        <v>17674530174</v>
      </c>
      <c r="F717" s="16" t="s">
        <v>641</v>
      </c>
      <c r="G717" s="16" t="s">
        <v>642</v>
      </c>
      <c r="H717" s="108" t="s">
        <v>1844</v>
      </c>
      <c r="I717" s="369" t="s">
        <v>2694</v>
      </c>
      <c r="J717" s="181" t="s">
        <v>1105</v>
      </c>
    </row>
    <row r="718" spans="1:10">
      <c r="A718" s="276">
        <v>627</v>
      </c>
      <c r="B718" s="16" t="s">
        <v>2702</v>
      </c>
      <c r="C718" s="16" t="s">
        <v>2703</v>
      </c>
      <c r="D718" s="16" t="s">
        <v>2704</v>
      </c>
      <c r="E718" s="366">
        <v>13296652407</v>
      </c>
      <c r="F718" s="16" t="s">
        <v>2705</v>
      </c>
      <c r="G718" s="16" t="s">
        <v>2706</v>
      </c>
      <c r="H718" s="108" t="s">
        <v>1844</v>
      </c>
      <c r="I718" s="369" t="s">
        <v>2694</v>
      </c>
      <c r="J718" s="181" t="s">
        <v>1105</v>
      </c>
    </row>
    <row r="719" spans="1:10">
      <c r="A719" s="276">
        <v>628</v>
      </c>
      <c r="B719" s="16" t="s">
        <v>2707</v>
      </c>
      <c r="C719" s="16" t="s">
        <v>2708</v>
      </c>
      <c r="D719" s="16" t="s">
        <v>2709</v>
      </c>
      <c r="E719" s="366">
        <v>18019033732</v>
      </c>
      <c r="F719" s="16" t="s">
        <v>2705</v>
      </c>
      <c r="G719" s="16" t="s">
        <v>2706</v>
      </c>
      <c r="H719" s="108" t="s">
        <v>1844</v>
      </c>
      <c r="I719" s="369" t="s">
        <v>2694</v>
      </c>
      <c r="J719" s="181" t="s">
        <v>1105</v>
      </c>
    </row>
    <row r="720" spans="1:10">
      <c r="A720" s="276">
        <v>629</v>
      </c>
      <c r="B720" s="16" t="s">
        <v>2710</v>
      </c>
      <c r="C720" s="16" t="s">
        <v>2711</v>
      </c>
      <c r="D720" s="16" t="s">
        <v>2712</v>
      </c>
      <c r="E720" s="366">
        <v>18257113297</v>
      </c>
      <c r="F720" s="16" t="s">
        <v>2705</v>
      </c>
      <c r="G720" s="16" t="s">
        <v>2706</v>
      </c>
      <c r="H720" s="108" t="s">
        <v>1844</v>
      </c>
      <c r="I720" s="369" t="s">
        <v>2694</v>
      </c>
      <c r="J720" s="181" t="s">
        <v>1105</v>
      </c>
    </row>
    <row r="721" spans="1:10">
      <c r="A721" s="276">
        <v>630</v>
      </c>
      <c r="B721" s="16" t="s">
        <v>2713</v>
      </c>
      <c r="C721" s="16" t="s">
        <v>2714</v>
      </c>
      <c r="D721" s="16" t="s">
        <v>2715</v>
      </c>
      <c r="E721" s="366">
        <v>18019033145</v>
      </c>
      <c r="F721" s="16" t="s">
        <v>2705</v>
      </c>
      <c r="G721" s="16" t="s">
        <v>2706</v>
      </c>
      <c r="H721" s="108" t="s">
        <v>1844</v>
      </c>
      <c r="I721" s="369" t="s">
        <v>2694</v>
      </c>
      <c r="J721" s="181" t="s">
        <v>1105</v>
      </c>
    </row>
    <row r="722" spans="1:10">
      <c r="A722" s="276">
        <v>631</v>
      </c>
      <c r="B722" s="181" t="s">
        <v>2716</v>
      </c>
      <c r="C722" s="181" t="s">
        <v>2717</v>
      </c>
      <c r="D722" s="181" t="s">
        <v>2718</v>
      </c>
      <c r="E722" s="181" t="s">
        <v>2719</v>
      </c>
      <c r="F722" s="181" t="s">
        <v>2233</v>
      </c>
      <c r="G722" s="181" t="s">
        <v>2234</v>
      </c>
      <c r="H722" s="115" t="s">
        <v>1844</v>
      </c>
      <c r="I722" s="369" t="s">
        <v>2694</v>
      </c>
      <c r="J722" s="181" t="s">
        <v>1157</v>
      </c>
    </row>
    <row r="723" spans="1:10">
      <c r="A723" s="276">
        <v>632</v>
      </c>
      <c r="B723" s="16" t="s">
        <v>2720</v>
      </c>
      <c r="C723" s="16" t="s">
        <v>2721</v>
      </c>
      <c r="D723" s="16" t="s">
        <v>2722</v>
      </c>
      <c r="E723" s="366" t="s">
        <v>2723</v>
      </c>
      <c r="F723" s="16" t="s">
        <v>2724</v>
      </c>
      <c r="G723" s="16" t="s">
        <v>2725</v>
      </c>
      <c r="H723" s="108" t="s">
        <v>1844</v>
      </c>
      <c r="I723" s="368" t="s">
        <v>2726</v>
      </c>
      <c r="J723" s="181" t="s">
        <v>1105</v>
      </c>
    </row>
    <row r="724" spans="1:10">
      <c r="A724" s="276">
        <v>633</v>
      </c>
      <c r="B724" s="16" t="s">
        <v>2727</v>
      </c>
      <c r="C724" s="16" t="s">
        <v>2728</v>
      </c>
      <c r="D724" s="16" t="s">
        <v>2729</v>
      </c>
      <c r="E724" s="16" t="s">
        <v>2730</v>
      </c>
      <c r="F724" s="16" t="s">
        <v>2724</v>
      </c>
      <c r="G724" s="16" t="s">
        <v>2725</v>
      </c>
      <c r="H724" s="108" t="s">
        <v>1844</v>
      </c>
      <c r="I724" s="368" t="s">
        <v>2726</v>
      </c>
      <c r="J724" s="181" t="s">
        <v>1157</v>
      </c>
    </row>
    <row r="725" spans="1:10">
      <c r="A725" s="276">
        <v>634</v>
      </c>
      <c r="B725" s="16" t="s">
        <v>1425</v>
      </c>
      <c r="C725" s="16" t="s">
        <v>1426</v>
      </c>
      <c r="D725" s="16" t="s">
        <v>1427</v>
      </c>
      <c r="E725" s="16" t="s">
        <v>2731</v>
      </c>
      <c r="F725" s="16" t="s">
        <v>1428</v>
      </c>
      <c r="G725" s="16" t="s">
        <v>1429</v>
      </c>
      <c r="H725" s="108" t="s">
        <v>1844</v>
      </c>
      <c r="I725" s="368" t="s">
        <v>2726</v>
      </c>
      <c r="J725" s="181" t="s">
        <v>1157</v>
      </c>
    </row>
    <row r="726" spans="1:10">
      <c r="A726" s="276">
        <v>635</v>
      </c>
      <c r="B726" s="16" t="s">
        <v>1435</v>
      </c>
      <c r="C726" s="16" t="s">
        <v>2732</v>
      </c>
      <c r="D726" s="16" t="s">
        <v>1437</v>
      </c>
      <c r="E726" s="16" t="s">
        <v>2733</v>
      </c>
      <c r="F726" s="16" t="s">
        <v>1428</v>
      </c>
      <c r="G726" s="16" t="s">
        <v>1429</v>
      </c>
      <c r="H726" s="108" t="s">
        <v>1844</v>
      </c>
      <c r="I726" s="368" t="s">
        <v>2726</v>
      </c>
      <c r="J726" s="181" t="s">
        <v>1157</v>
      </c>
    </row>
    <row r="727" spans="1:10">
      <c r="A727" s="276">
        <v>636</v>
      </c>
      <c r="B727" s="16" t="s">
        <v>2734</v>
      </c>
      <c r="C727" s="16" t="s">
        <v>2735</v>
      </c>
      <c r="D727" s="16" t="s">
        <v>2736</v>
      </c>
      <c r="E727" s="16" t="s">
        <v>2737</v>
      </c>
      <c r="F727" s="16" t="s">
        <v>1754</v>
      </c>
      <c r="G727" s="16" t="s">
        <v>1755</v>
      </c>
      <c r="H727" s="108" t="s">
        <v>1844</v>
      </c>
      <c r="I727" s="368" t="s">
        <v>2726</v>
      </c>
      <c r="J727" s="181" t="s">
        <v>1105</v>
      </c>
    </row>
    <row r="728" spans="1:10">
      <c r="A728" s="276">
        <v>637</v>
      </c>
      <c r="B728" s="16" t="s">
        <v>2738</v>
      </c>
      <c r="C728" s="16" t="s">
        <v>2739</v>
      </c>
      <c r="D728" s="16" t="s">
        <v>2740</v>
      </c>
      <c r="E728" s="16" t="s">
        <v>2741</v>
      </c>
      <c r="F728" s="16" t="s">
        <v>1754</v>
      </c>
      <c r="G728" s="16" t="s">
        <v>1755</v>
      </c>
      <c r="H728" s="108" t="s">
        <v>1844</v>
      </c>
      <c r="I728" s="368" t="s">
        <v>2726</v>
      </c>
      <c r="J728" s="181" t="s">
        <v>1105</v>
      </c>
    </row>
    <row r="729" spans="1:10">
      <c r="A729" s="276">
        <v>638</v>
      </c>
      <c r="B729" s="16" t="s">
        <v>2742</v>
      </c>
      <c r="C729" s="16" t="s">
        <v>2743</v>
      </c>
      <c r="D729" s="16" t="s">
        <v>2744</v>
      </c>
      <c r="E729" s="16" t="s">
        <v>2745</v>
      </c>
      <c r="F729" s="16" t="s">
        <v>1754</v>
      </c>
      <c r="G729" s="16" t="s">
        <v>1755</v>
      </c>
      <c r="H729" s="108" t="s">
        <v>1844</v>
      </c>
      <c r="I729" s="368" t="s">
        <v>2726</v>
      </c>
      <c r="J729" s="181" t="s">
        <v>1105</v>
      </c>
    </row>
    <row r="730" spans="1:10">
      <c r="A730" s="276">
        <v>639</v>
      </c>
      <c r="B730" s="16" t="s">
        <v>1584</v>
      </c>
      <c r="C730" s="16" t="s">
        <v>2746</v>
      </c>
      <c r="D730" s="16" t="s">
        <v>1585</v>
      </c>
      <c r="E730" s="366">
        <v>18686571282</v>
      </c>
      <c r="F730" s="16" t="s">
        <v>57</v>
      </c>
      <c r="G730" s="16" t="s">
        <v>485</v>
      </c>
      <c r="H730" s="108" t="s">
        <v>1844</v>
      </c>
      <c r="I730" s="368" t="s">
        <v>2726</v>
      </c>
      <c r="J730" s="181" t="s">
        <v>1105</v>
      </c>
    </row>
    <row r="731" spans="1:10">
      <c r="A731" s="276">
        <v>640</v>
      </c>
      <c r="B731" s="16" t="s">
        <v>1316</v>
      </c>
      <c r="C731" s="16" t="s">
        <v>2747</v>
      </c>
      <c r="D731" s="16" t="s">
        <v>1318</v>
      </c>
      <c r="E731" s="366">
        <v>17678319452</v>
      </c>
      <c r="F731" s="16" t="s">
        <v>57</v>
      </c>
      <c r="G731" s="16" t="s">
        <v>485</v>
      </c>
      <c r="H731" s="108" t="s">
        <v>1844</v>
      </c>
      <c r="I731" s="368" t="s">
        <v>2726</v>
      </c>
      <c r="J731" s="181" t="s">
        <v>1105</v>
      </c>
    </row>
    <row r="732" spans="1:10">
      <c r="A732" s="276">
        <v>641</v>
      </c>
      <c r="B732" s="16" t="s">
        <v>1312</v>
      </c>
      <c r="C732" s="16" t="s">
        <v>2748</v>
      </c>
      <c r="D732" s="16" t="s">
        <v>1314</v>
      </c>
      <c r="E732" s="366">
        <v>17519499087</v>
      </c>
      <c r="F732" s="16" t="s">
        <v>57</v>
      </c>
      <c r="G732" s="16" t="s">
        <v>485</v>
      </c>
      <c r="H732" s="108" t="s">
        <v>1844</v>
      </c>
      <c r="I732" s="368" t="s">
        <v>2726</v>
      </c>
      <c r="J732" s="181" t="s">
        <v>1105</v>
      </c>
    </row>
    <row r="733" spans="1:10">
      <c r="A733" s="276">
        <v>642</v>
      </c>
      <c r="B733" s="16" t="s">
        <v>2749</v>
      </c>
      <c r="C733" s="16" t="s">
        <v>2750</v>
      </c>
      <c r="D733" s="16" t="s">
        <v>2751</v>
      </c>
      <c r="E733" s="366">
        <v>17683965336</v>
      </c>
      <c r="F733" s="16" t="s">
        <v>57</v>
      </c>
      <c r="G733" s="16" t="s">
        <v>485</v>
      </c>
      <c r="H733" s="108" t="s">
        <v>1844</v>
      </c>
      <c r="I733" s="368" t="s">
        <v>2726</v>
      </c>
      <c r="J733" s="181" t="s">
        <v>1105</v>
      </c>
    </row>
    <row r="734" spans="1:10">
      <c r="A734" s="276">
        <v>643</v>
      </c>
      <c r="B734" s="16" t="s">
        <v>2752</v>
      </c>
      <c r="C734" s="16" t="s">
        <v>2753</v>
      </c>
      <c r="D734" s="16" t="s">
        <v>2754</v>
      </c>
      <c r="E734" s="366">
        <v>17643198963</v>
      </c>
      <c r="F734" s="16" t="s">
        <v>57</v>
      </c>
      <c r="G734" s="16" t="s">
        <v>485</v>
      </c>
      <c r="H734" s="108" t="s">
        <v>1844</v>
      </c>
      <c r="I734" s="368" t="s">
        <v>2726</v>
      </c>
      <c r="J734" s="181" t="s">
        <v>1105</v>
      </c>
    </row>
    <row r="735" spans="1:10">
      <c r="A735" s="276">
        <v>644</v>
      </c>
      <c r="B735" s="16" t="s">
        <v>2755</v>
      </c>
      <c r="C735" s="16" t="s">
        <v>2756</v>
      </c>
      <c r="D735" s="16" t="s">
        <v>2757</v>
      </c>
      <c r="E735" s="366">
        <v>15846020428</v>
      </c>
      <c r="F735" s="16" t="s">
        <v>57</v>
      </c>
      <c r="G735" s="16" t="s">
        <v>485</v>
      </c>
      <c r="H735" s="108" t="s">
        <v>1844</v>
      </c>
      <c r="I735" s="368" t="s">
        <v>2726</v>
      </c>
      <c r="J735" s="181" t="s">
        <v>1105</v>
      </c>
    </row>
    <row r="736" spans="1:10">
      <c r="A736" s="276">
        <v>645</v>
      </c>
      <c r="B736" s="16" t="s">
        <v>2758</v>
      </c>
      <c r="C736" s="16" t="s">
        <v>2759</v>
      </c>
      <c r="D736" s="16" t="s">
        <v>2760</v>
      </c>
      <c r="E736" s="366">
        <v>19011422360</v>
      </c>
      <c r="F736" s="16" t="s">
        <v>57</v>
      </c>
      <c r="G736" s="16" t="s">
        <v>485</v>
      </c>
      <c r="H736" s="108" t="s">
        <v>1844</v>
      </c>
      <c r="I736" s="368" t="s">
        <v>2726</v>
      </c>
      <c r="J736" s="181" t="s">
        <v>1105</v>
      </c>
    </row>
    <row r="737" spans="1:10">
      <c r="A737" s="276">
        <v>646</v>
      </c>
      <c r="B737" s="16" t="s">
        <v>2761</v>
      </c>
      <c r="C737" s="16" t="s">
        <v>2762</v>
      </c>
      <c r="D737" s="16" t="s">
        <v>2763</v>
      </c>
      <c r="E737" s="16" t="s">
        <v>2764</v>
      </c>
      <c r="F737" s="16" t="s">
        <v>2765</v>
      </c>
      <c r="G737" s="16" t="s">
        <v>2766</v>
      </c>
      <c r="H737" s="108" t="s">
        <v>1735</v>
      </c>
      <c r="I737" s="369" t="s">
        <v>2767</v>
      </c>
      <c r="J737" s="181" t="s">
        <v>1105</v>
      </c>
    </row>
    <row r="738" spans="1:10">
      <c r="A738" s="276">
        <v>647</v>
      </c>
      <c r="B738" s="16" t="s">
        <v>2768</v>
      </c>
      <c r="C738" s="16" t="s">
        <v>2769</v>
      </c>
      <c r="D738" s="16" t="s">
        <v>2770</v>
      </c>
      <c r="E738" s="16" t="s">
        <v>2771</v>
      </c>
      <c r="F738" s="16" t="s">
        <v>2765</v>
      </c>
      <c r="G738" s="16" t="s">
        <v>2766</v>
      </c>
      <c r="H738" s="108" t="s">
        <v>1735</v>
      </c>
      <c r="I738" s="369" t="s">
        <v>2767</v>
      </c>
      <c r="J738" s="181" t="s">
        <v>1105</v>
      </c>
    </row>
    <row r="739" spans="1:10">
      <c r="A739" s="276">
        <v>648</v>
      </c>
      <c r="B739" s="16" t="s">
        <v>2772</v>
      </c>
      <c r="C739" s="16" t="s">
        <v>2773</v>
      </c>
      <c r="D739" s="16" t="s">
        <v>2774</v>
      </c>
      <c r="E739" s="366">
        <v>15804317334</v>
      </c>
      <c r="F739" s="16" t="s">
        <v>1428</v>
      </c>
      <c r="G739" s="16" t="s">
        <v>1429</v>
      </c>
      <c r="H739" s="108" t="s">
        <v>1735</v>
      </c>
      <c r="I739" s="369" t="s">
        <v>2767</v>
      </c>
      <c r="J739" s="181" t="s">
        <v>1105</v>
      </c>
    </row>
    <row r="740" spans="1:10">
      <c r="A740" s="276">
        <v>649</v>
      </c>
      <c r="B740" s="16" t="s">
        <v>1499</v>
      </c>
      <c r="C740" s="16" t="s">
        <v>1500</v>
      </c>
      <c r="D740" s="16" t="s">
        <v>1501</v>
      </c>
      <c r="E740" s="366">
        <v>13244317614</v>
      </c>
      <c r="F740" s="16" t="s">
        <v>1428</v>
      </c>
      <c r="G740" s="16" t="s">
        <v>1429</v>
      </c>
      <c r="H740" s="108" t="s">
        <v>1735</v>
      </c>
      <c r="I740" s="369" t="s">
        <v>2767</v>
      </c>
      <c r="J740" s="181" t="s">
        <v>1105</v>
      </c>
    </row>
    <row r="741" spans="1:10">
      <c r="A741" s="276">
        <v>650</v>
      </c>
      <c r="B741" s="16" t="s">
        <v>2775</v>
      </c>
      <c r="C741" s="16" t="s">
        <v>1504</v>
      </c>
      <c r="D741" s="16" t="s">
        <v>2776</v>
      </c>
      <c r="E741" s="16" t="s">
        <v>2777</v>
      </c>
      <c r="F741" s="16" t="s">
        <v>1428</v>
      </c>
      <c r="G741" s="16" t="s">
        <v>1429</v>
      </c>
      <c r="H741" s="108" t="s">
        <v>1735</v>
      </c>
      <c r="I741" s="369" t="s">
        <v>2767</v>
      </c>
      <c r="J741" s="181" t="s">
        <v>1157</v>
      </c>
    </row>
    <row r="742" spans="1:10">
      <c r="A742" s="276">
        <v>651</v>
      </c>
      <c r="B742" s="16" t="s">
        <v>2778</v>
      </c>
      <c r="C742" s="16" t="s">
        <v>1508</v>
      </c>
      <c r="D742" s="16" t="s">
        <v>2779</v>
      </c>
      <c r="E742" s="16" t="s">
        <v>2780</v>
      </c>
      <c r="F742" s="16" t="s">
        <v>1428</v>
      </c>
      <c r="G742" s="16" t="s">
        <v>1429</v>
      </c>
      <c r="H742" s="108" t="s">
        <v>1735</v>
      </c>
      <c r="I742" s="369" t="s">
        <v>2767</v>
      </c>
      <c r="J742" s="181" t="s">
        <v>1105</v>
      </c>
    </row>
    <row r="743" spans="1:10">
      <c r="A743" s="276">
        <v>652</v>
      </c>
      <c r="B743" s="16" t="s">
        <v>2781</v>
      </c>
      <c r="C743" s="16" t="s">
        <v>2782</v>
      </c>
      <c r="D743" s="16" t="s">
        <v>2783</v>
      </c>
      <c r="E743" s="16" t="s">
        <v>2784</v>
      </c>
      <c r="F743" s="16" t="s">
        <v>2233</v>
      </c>
      <c r="G743" s="16" t="s">
        <v>2234</v>
      </c>
      <c r="H743" s="108" t="s">
        <v>1735</v>
      </c>
      <c r="I743" s="369" t="s">
        <v>2767</v>
      </c>
      <c r="J743" s="181" t="s">
        <v>1105</v>
      </c>
    </row>
    <row r="744" spans="1:10">
      <c r="A744" s="276">
        <v>653</v>
      </c>
      <c r="B744" s="16" t="s">
        <v>2785</v>
      </c>
      <c r="C744" s="16" t="s">
        <v>2786</v>
      </c>
      <c r="D744" s="16" t="s">
        <v>2787</v>
      </c>
      <c r="E744" s="16" t="s">
        <v>2788</v>
      </c>
      <c r="F744" s="16" t="s">
        <v>2233</v>
      </c>
      <c r="G744" s="16" t="s">
        <v>2234</v>
      </c>
      <c r="H744" s="108" t="s">
        <v>1735</v>
      </c>
      <c r="I744" s="369" t="s">
        <v>2767</v>
      </c>
      <c r="J744" s="181" t="s">
        <v>1105</v>
      </c>
    </row>
    <row r="745" spans="1:10">
      <c r="A745" s="276">
        <v>654</v>
      </c>
      <c r="B745" s="16" t="s">
        <v>2789</v>
      </c>
      <c r="C745" s="16" t="s">
        <v>2790</v>
      </c>
      <c r="D745" s="16" t="s">
        <v>2791</v>
      </c>
      <c r="E745" s="16" t="s">
        <v>2792</v>
      </c>
      <c r="F745" s="16" t="s">
        <v>2233</v>
      </c>
      <c r="G745" s="16" t="s">
        <v>2234</v>
      </c>
      <c r="H745" s="108" t="s">
        <v>1735</v>
      </c>
      <c r="I745" s="369" t="s">
        <v>2767</v>
      </c>
      <c r="J745" s="181" t="s">
        <v>1105</v>
      </c>
    </row>
    <row r="746" spans="1:10">
      <c r="A746" s="276">
        <v>655</v>
      </c>
      <c r="B746" s="16" t="s">
        <v>2793</v>
      </c>
      <c r="C746" s="16" t="s">
        <v>2794</v>
      </c>
      <c r="D746" s="16" t="s">
        <v>2795</v>
      </c>
      <c r="E746" s="16" t="s">
        <v>2796</v>
      </c>
      <c r="F746" s="16" t="s">
        <v>2233</v>
      </c>
      <c r="G746" s="16" t="s">
        <v>2234</v>
      </c>
      <c r="H746" s="108" t="s">
        <v>1735</v>
      </c>
      <c r="I746" s="369" t="s">
        <v>2767</v>
      </c>
      <c r="J746" s="181" t="s">
        <v>1105</v>
      </c>
    </row>
    <row r="747" spans="1:10">
      <c r="A747" s="276">
        <v>656</v>
      </c>
      <c r="B747" s="16" t="s">
        <v>2797</v>
      </c>
      <c r="C747" s="16" t="s">
        <v>2798</v>
      </c>
      <c r="D747" s="16" t="s">
        <v>2799</v>
      </c>
      <c r="E747" s="16" t="s">
        <v>2800</v>
      </c>
      <c r="F747" s="16" t="s">
        <v>2233</v>
      </c>
      <c r="G747" s="16" t="s">
        <v>2234</v>
      </c>
      <c r="H747" s="108" t="s">
        <v>1735</v>
      </c>
      <c r="I747" s="369" t="s">
        <v>2767</v>
      </c>
      <c r="J747" s="181" t="s">
        <v>1105</v>
      </c>
    </row>
    <row r="748" spans="1:10">
      <c r="A748" s="276">
        <v>657</v>
      </c>
      <c r="B748" s="16" t="s">
        <v>2801</v>
      </c>
      <c r="C748" s="16" t="s">
        <v>2802</v>
      </c>
      <c r="D748" s="16" t="s">
        <v>2803</v>
      </c>
      <c r="E748" s="16" t="s">
        <v>2804</v>
      </c>
      <c r="F748" s="16" t="s">
        <v>2233</v>
      </c>
      <c r="G748" s="16" t="s">
        <v>2234</v>
      </c>
      <c r="H748" s="108" t="s">
        <v>1735</v>
      </c>
      <c r="I748" s="369" t="s">
        <v>2767</v>
      </c>
      <c r="J748" s="181" t="s">
        <v>1105</v>
      </c>
    </row>
    <row r="749" spans="1:10">
      <c r="A749" s="276">
        <v>658</v>
      </c>
      <c r="B749" s="16" t="s">
        <v>2805</v>
      </c>
      <c r="C749" s="16" t="s">
        <v>2806</v>
      </c>
      <c r="D749" s="16" t="s">
        <v>2807</v>
      </c>
      <c r="E749" s="16" t="s">
        <v>2808</v>
      </c>
      <c r="F749" s="16" t="s">
        <v>2233</v>
      </c>
      <c r="G749" s="16" t="s">
        <v>2234</v>
      </c>
      <c r="H749" s="108" t="s">
        <v>1735</v>
      </c>
      <c r="I749" s="369" t="s">
        <v>2767</v>
      </c>
      <c r="J749" s="181" t="s">
        <v>1105</v>
      </c>
    </row>
    <row r="750" spans="1:10">
      <c r="A750" s="276">
        <v>659</v>
      </c>
      <c r="B750" s="16" t="s">
        <v>2809</v>
      </c>
      <c r="C750" s="16" t="s">
        <v>2810</v>
      </c>
      <c r="D750" s="16" t="s">
        <v>2811</v>
      </c>
      <c r="E750" s="16" t="s">
        <v>2812</v>
      </c>
      <c r="F750" s="16" t="s">
        <v>2233</v>
      </c>
      <c r="G750" s="16" t="s">
        <v>2234</v>
      </c>
      <c r="H750" s="108" t="s">
        <v>1735</v>
      </c>
      <c r="I750" s="369" t="s">
        <v>2767</v>
      </c>
      <c r="J750" s="181" t="s">
        <v>1105</v>
      </c>
    </row>
    <row r="751" spans="1:10">
      <c r="A751" s="276">
        <v>660</v>
      </c>
      <c r="B751" s="16" t="s">
        <v>2813</v>
      </c>
      <c r="C751" s="16" t="s">
        <v>2814</v>
      </c>
      <c r="D751" s="16" t="s">
        <v>2815</v>
      </c>
      <c r="E751" s="16" t="s">
        <v>2816</v>
      </c>
      <c r="F751" s="16" t="s">
        <v>2233</v>
      </c>
      <c r="G751" s="16" t="s">
        <v>2234</v>
      </c>
      <c r="H751" s="108" t="s">
        <v>1735</v>
      </c>
      <c r="I751" s="368" t="s">
        <v>2817</v>
      </c>
      <c r="J751" s="181" t="s">
        <v>1105</v>
      </c>
    </row>
    <row r="752" spans="1:10">
      <c r="A752" s="276">
        <v>661</v>
      </c>
      <c r="B752" s="16" t="s">
        <v>2818</v>
      </c>
      <c r="C752" s="16" t="s">
        <v>2819</v>
      </c>
      <c r="D752" s="16" t="s">
        <v>2820</v>
      </c>
      <c r="E752" s="16" t="s">
        <v>2821</v>
      </c>
      <c r="F752" s="16" t="s">
        <v>2233</v>
      </c>
      <c r="G752" s="16" t="s">
        <v>2234</v>
      </c>
      <c r="H752" s="108" t="s">
        <v>1735</v>
      </c>
      <c r="I752" s="368" t="s">
        <v>2817</v>
      </c>
      <c r="J752" s="181" t="s">
        <v>1105</v>
      </c>
    </row>
    <row r="753" spans="1:10">
      <c r="A753" s="276">
        <v>662</v>
      </c>
      <c r="B753" s="16" t="s">
        <v>2822</v>
      </c>
      <c r="C753" s="16" t="s">
        <v>2823</v>
      </c>
      <c r="D753" s="16" t="s">
        <v>2824</v>
      </c>
      <c r="E753" s="16" t="s">
        <v>2825</v>
      </c>
      <c r="F753" s="16" t="s">
        <v>2233</v>
      </c>
      <c r="G753" s="16" t="s">
        <v>2234</v>
      </c>
      <c r="H753" s="108" t="s">
        <v>1735</v>
      </c>
      <c r="I753" s="368" t="s">
        <v>2817</v>
      </c>
      <c r="J753" s="181" t="s">
        <v>1105</v>
      </c>
    </row>
    <row r="754" spans="1:10">
      <c r="A754" s="276">
        <v>663</v>
      </c>
      <c r="B754" s="16" t="s">
        <v>2826</v>
      </c>
      <c r="C754" s="16" t="s">
        <v>2827</v>
      </c>
      <c r="D754" s="16" t="s">
        <v>2828</v>
      </c>
      <c r="E754" s="16" t="s">
        <v>2829</v>
      </c>
      <c r="F754" s="16" t="s">
        <v>2233</v>
      </c>
      <c r="G754" s="16" t="s">
        <v>2234</v>
      </c>
      <c r="H754" s="108" t="s">
        <v>1735</v>
      </c>
      <c r="I754" s="368" t="s">
        <v>2817</v>
      </c>
      <c r="J754" s="181" t="s">
        <v>1105</v>
      </c>
    </row>
    <row r="755" spans="1:10">
      <c r="A755" s="276">
        <v>664</v>
      </c>
      <c r="B755" s="16" t="s">
        <v>2830</v>
      </c>
      <c r="C755" s="16" t="s">
        <v>2831</v>
      </c>
      <c r="D755" s="16" t="s">
        <v>2832</v>
      </c>
      <c r="E755" s="366">
        <v>13087150987</v>
      </c>
      <c r="F755" s="16" t="s">
        <v>57</v>
      </c>
      <c r="G755" s="16" t="s">
        <v>485</v>
      </c>
      <c r="H755" s="108" t="s">
        <v>1735</v>
      </c>
      <c r="I755" s="368" t="s">
        <v>2817</v>
      </c>
      <c r="J755" s="181" t="s">
        <v>1105</v>
      </c>
    </row>
    <row r="756" spans="1:10">
      <c r="A756" s="276">
        <v>665</v>
      </c>
      <c r="B756" s="16" t="s">
        <v>2833</v>
      </c>
      <c r="C756" s="16" t="s">
        <v>2834</v>
      </c>
      <c r="D756" s="16" t="s">
        <v>2835</v>
      </c>
      <c r="E756" s="366">
        <v>19554118381</v>
      </c>
      <c r="F756" s="16" t="s">
        <v>57</v>
      </c>
      <c r="G756" s="16" t="s">
        <v>485</v>
      </c>
      <c r="H756" s="108" t="s">
        <v>1735</v>
      </c>
      <c r="I756" s="368" t="s">
        <v>2817</v>
      </c>
      <c r="J756" s="181" t="s">
        <v>1105</v>
      </c>
    </row>
    <row r="757" spans="1:10">
      <c r="A757" s="276">
        <v>666</v>
      </c>
      <c r="B757" s="16" t="s">
        <v>2836</v>
      </c>
      <c r="C757" s="16" t="s">
        <v>2837</v>
      </c>
      <c r="D757" s="16" t="s">
        <v>2838</v>
      </c>
      <c r="E757" s="366">
        <v>13943451055</v>
      </c>
      <c r="F757" s="16" t="s">
        <v>57</v>
      </c>
      <c r="G757" s="16" t="s">
        <v>485</v>
      </c>
      <c r="H757" s="108" t="s">
        <v>1735</v>
      </c>
      <c r="I757" s="368" t="s">
        <v>2817</v>
      </c>
      <c r="J757" s="181" t="s">
        <v>1105</v>
      </c>
    </row>
    <row r="758" spans="1:10">
      <c r="A758" s="276">
        <v>667</v>
      </c>
      <c r="B758" s="16" t="s">
        <v>2839</v>
      </c>
      <c r="C758" s="16" t="s">
        <v>2840</v>
      </c>
      <c r="D758" s="16" t="s">
        <v>2841</v>
      </c>
      <c r="E758" s="366">
        <v>15552543694</v>
      </c>
      <c r="F758" s="16" t="s">
        <v>57</v>
      </c>
      <c r="G758" s="16" t="s">
        <v>485</v>
      </c>
      <c r="H758" s="108" t="s">
        <v>1735</v>
      </c>
      <c r="I758" s="368" t="s">
        <v>2817</v>
      </c>
      <c r="J758" s="181" t="s">
        <v>1105</v>
      </c>
    </row>
    <row r="759" spans="1:10">
      <c r="A759" s="276">
        <v>668</v>
      </c>
      <c r="B759" s="16" t="s">
        <v>2842</v>
      </c>
      <c r="C759" s="16" t="s">
        <v>2843</v>
      </c>
      <c r="D759" s="16" t="s">
        <v>2844</v>
      </c>
      <c r="E759" s="366">
        <v>13184986766</v>
      </c>
      <c r="F759" s="16" t="s">
        <v>57</v>
      </c>
      <c r="G759" s="16" t="s">
        <v>485</v>
      </c>
      <c r="H759" s="108" t="s">
        <v>1735</v>
      </c>
      <c r="I759" s="368" t="s">
        <v>2817</v>
      </c>
      <c r="J759" s="181" t="s">
        <v>1105</v>
      </c>
    </row>
    <row r="760" spans="1:10">
      <c r="A760" s="276">
        <v>669</v>
      </c>
      <c r="B760" s="16" t="s">
        <v>2845</v>
      </c>
      <c r="C760" s="16" t="s">
        <v>2846</v>
      </c>
      <c r="D760" s="16" t="s">
        <v>2847</v>
      </c>
      <c r="E760" s="366">
        <v>15004421572</v>
      </c>
      <c r="F760" s="16" t="s">
        <v>57</v>
      </c>
      <c r="G760" s="16" t="s">
        <v>485</v>
      </c>
      <c r="H760" s="108" t="s">
        <v>1735</v>
      </c>
      <c r="I760" s="368" t="s">
        <v>2817</v>
      </c>
      <c r="J760" s="181" t="s">
        <v>1105</v>
      </c>
    </row>
    <row r="761" spans="1:10">
      <c r="A761" s="276">
        <v>670</v>
      </c>
      <c r="B761" s="16" t="s">
        <v>2848</v>
      </c>
      <c r="C761" s="16" t="s">
        <v>2849</v>
      </c>
      <c r="D761" s="16" t="s">
        <v>2850</v>
      </c>
      <c r="E761" s="366">
        <v>15236166578</v>
      </c>
      <c r="F761" s="16" t="s">
        <v>57</v>
      </c>
      <c r="G761" s="16" t="s">
        <v>485</v>
      </c>
      <c r="H761" s="108" t="s">
        <v>1735</v>
      </c>
      <c r="I761" s="368" t="s">
        <v>2817</v>
      </c>
      <c r="J761" s="181" t="s">
        <v>1105</v>
      </c>
    </row>
    <row r="764" spans="1:10">
      <c r="A764" s="276">
        <v>671</v>
      </c>
      <c r="B764" s="16" t="s">
        <v>2851</v>
      </c>
      <c r="C764" s="16" t="s">
        <v>2852</v>
      </c>
      <c r="D764" s="16" t="s">
        <v>2853</v>
      </c>
      <c r="E764" s="16" t="s">
        <v>2854</v>
      </c>
      <c r="F764" s="16" t="s">
        <v>2855</v>
      </c>
      <c r="G764" s="16" t="s">
        <v>2856</v>
      </c>
      <c r="H764" s="108" t="s">
        <v>1844</v>
      </c>
      <c r="I764" s="277" t="s">
        <v>2857</v>
      </c>
      <c r="J764" s="181" t="s">
        <v>1157</v>
      </c>
    </row>
    <row r="765" spans="1:10">
      <c r="A765" s="276">
        <v>672</v>
      </c>
      <c r="B765" s="16" t="s">
        <v>2858</v>
      </c>
      <c r="C765" s="16" t="s">
        <v>2859</v>
      </c>
      <c r="D765" s="16" t="s">
        <v>2860</v>
      </c>
      <c r="E765" s="16" t="s">
        <v>2861</v>
      </c>
      <c r="F765" s="16" t="s">
        <v>1754</v>
      </c>
      <c r="G765" s="16" t="s">
        <v>1755</v>
      </c>
      <c r="H765" s="108" t="s">
        <v>1844</v>
      </c>
      <c r="I765" s="277" t="s">
        <v>2857</v>
      </c>
      <c r="J765" s="181" t="s">
        <v>1105</v>
      </c>
    </row>
    <row r="766" spans="1:10">
      <c r="A766" s="276">
        <v>673</v>
      </c>
      <c r="B766" s="16" t="s">
        <v>2862</v>
      </c>
      <c r="C766" s="16" t="s">
        <v>2863</v>
      </c>
      <c r="D766" s="16" t="s">
        <v>2864</v>
      </c>
      <c r="E766" s="16" t="s">
        <v>2865</v>
      </c>
      <c r="F766" s="16" t="s">
        <v>1754</v>
      </c>
      <c r="G766" s="16" t="s">
        <v>1755</v>
      </c>
      <c r="H766" s="108" t="s">
        <v>1844</v>
      </c>
      <c r="I766" s="277" t="s">
        <v>2857</v>
      </c>
      <c r="J766" s="181" t="s">
        <v>1105</v>
      </c>
    </row>
    <row r="767" spans="1:10">
      <c r="A767" s="276">
        <v>674</v>
      </c>
      <c r="B767" s="16" t="s">
        <v>2866</v>
      </c>
      <c r="C767" s="16" t="s">
        <v>2867</v>
      </c>
      <c r="D767" s="16" t="s">
        <v>2868</v>
      </c>
      <c r="E767" s="16" t="s">
        <v>2869</v>
      </c>
      <c r="F767" s="16" t="s">
        <v>1754</v>
      </c>
      <c r="G767" s="16" t="s">
        <v>1755</v>
      </c>
      <c r="H767" s="108" t="s">
        <v>1735</v>
      </c>
      <c r="I767" s="277" t="s">
        <v>2857</v>
      </c>
      <c r="J767" s="181" t="s">
        <v>1105</v>
      </c>
    </row>
    <row r="768" spans="1:10">
      <c r="A768" s="276">
        <v>675</v>
      </c>
      <c r="B768" s="16" t="s">
        <v>2870</v>
      </c>
      <c r="C768" s="16" t="s">
        <v>2871</v>
      </c>
      <c r="D768" s="16" t="s">
        <v>2872</v>
      </c>
      <c r="E768" s="16" t="s">
        <v>2873</v>
      </c>
      <c r="F768" s="16" t="s">
        <v>1754</v>
      </c>
      <c r="G768" s="16" t="s">
        <v>1755</v>
      </c>
      <c r="H768" s="108" t="s">
        <v>1735</v>
      </c>
      <c r="I768" s="277" t="s">
        <v>2857</v>
      </c>
      <c r="J768" s="181" t="s">
        <v>1105</v>
      </c>
    </row>
    <row r="769" spans="1:11">
      <c r="A769" s="276">
        <v>676</v>
      </c>
      <c r="B769" s="16" t="s">
        <v>2874</v>
      </c>
      <c r="C769" s="16" t="s">
        <v>2875</v>
      </c>
      <c r="D769" s="16" t="s">
        <v>2876</v>
      </c>
      <c r="E769" s="16" t="s">
        <v>2877</v>
      </c>
      <c r="F769" s="16" t="s">
        <v>1754</v>
      </c>
      <c r="G769" s="16" t="s">
        <v>1755</v>
      </c>
      <c r="H769" s="108" t="s">
        <v>1735</v>
      </c>
      <c r="I769" s="277" t="s">
        <v>2857</v>
      </c>
      <c r="J769" s="181" t="s">
        <v>1105</v>
      </c>
      <c r="K769" s="181"/>
    </row>
    <row r="770" spans="1:11">
      <c r="A770" s="276">
        <v>677</v>
      </c>
      <c r="B770" s="16" t="s">
        <v>2878</v>
      </c>
      <c r="C770" s="16" t="s">
        <v>2879</v>
      </c>
      <c r="D770" s="16" t="s">
        <v>2880</v>
      </c>
      <c r="E770" s="16" t="s">
        <v>2881</v>
      </c>
      <c r="F770" s="16" t="s">
        <v>2882</v>
      </c>
      <c r="G770" s="16" t="s">
        <v>2883</v>
      </c>
      <c r="H770" s="108" t="s">
        <v>1844</v>
      </c>
      <c r="I770" s="277" t="s">
        <v>2857</v>
      </c>
      <c r="J770" s="181" t="s">
        <v>1105</v>
      </c>
      <c r="K770" s="181"/>
    </row>
    <row r="771" spans="1:11">
      <c r="A771" s="276">
        <v>678</v>
      </c>
      <c r="B771" s="16" t="s">
        <v>2884</v>
      </c>
      <c r="C771" s="16" t="s">
        <v>2885</v>
      </c>
      <c r="D771" s="16" t="s">
        <v>2886</v>
      </c>
      <c r="E771" s="16" t="s">
        <v>2887</v>
      </c>
      <c r="F771" s="16" t="s">
        <v>2882</v>
      </c>
      <c r="G771" s="16" t="s">
        <v>2883</v>
      </c>
      <c r="H771" s="108" t="s">
        <v>1844</v>
      </c>
      <c r="I771" s="277" t="s">
        <v>2857</v>
      </c>
      <c r="J771" s="181" t="s">
        <v>1105</v>
      </c>
      <c r="K771" s="181"/>
    </row>
    <row r="772" spans="1:11">
      <c r="A772" s="276">
        <v>679</v>
      </c>
      <c r="B772" s="16" t="s">
        <v>2888</v>
      </c>
      <c r="C772" s="16" t="s">
        <v>2889</v>
      </c>
      <c r="D772" s="16" t="s">
        <v>2890</v>
      </c>
      <c r="E772" s="16" t="s">
        <v>2891</v>
      </c>
      <c r="F772" s="16" t="s">
        <v>2882</v>
      </c>
      <c r="G772" s="16" t="s">
        <v>2883</v>
      </c>
      <c r="H772" s="108" t="s">
        <v>1844</v>
      </c>
      <c r="I772" s="277" t="s">
        <v>2857</v>
      </c>
      <c r="J772" s="181" t="s">
        <v>1105</v>
      </c>
      <c r="K772" s="181"/>
    </row>
    <row r="773" spans="1:11">
      <c r="A773" s="276">
        <v>680</v>
      </c>
      <c r="B773" s="16" t="s">
        <v>2892</v>
      </c>
      <c r="C773" s="16" t="s">
        <v>2893</v>
      </c>
      <c r="D773" s="16" t="s">
        <v>2894</v>
      </c>
      <c r="E773" s="16" t="s">
        <v>2895</v>
      </c>
      <c r="F773" s="16" t="s">
        <v>2882</v>
      </c>
      <c r="G773" s="16" t="s">
        <v>2883</v>
      </c>
      <c r="H773" s="108" t="s">
        <v>1844</v>
      </c>
      <c r="I773" s="277" t="s">
        <v>2857</v>
      </c>
      <c r="J773" s="181" t="s">
        <v>1157</v>
      </c>
      <c r="K773" s="265" t="s">
        <v>2896</v>
      </c>
    </row>
    <row r="774" spans="1:11">
      <c r="A774" s="276">
        <v>681</v>
      </c>
      <c r="B774" s="16" t="s">
        <v>2897</v>
      </c>
      <c r="C774" s="16" t="s">
        <v>2898</v>
      </c>
      <c r="D774" s="16" t="s">
        <v>2899</v>
      </c>
      <c r="E774" s="16" t="s">
        <v>2900</v>
      </c>
      <c r="F774" s="16" t="s">
        <v>2882</v>
      </c>
      <c r="G774" s="16" t="s">
        <v>2883</v>
      </c>
      <c r="H774" s="108" t="s">
        <v>1844</v>
      </c>
      <c r="I774" s="277" t="s">
        <v>2857</v>
      </c>
      <c r="J774" s="181" t="s">
        <v>1105</v>
      </c>
      <c r="K774" s="181"/>
    </row>
    <row r="775" spans="1:11">
      <c r="A775" s="276">
        <v>682</v>
      </c>
      <c r="B775" s="16" t="s">
        <v>2901</v>
      </c>
      <c r="C775" s="16" t="s">
        <v>2902</v>
      </c>
      <c r="D775" s="16" t="s">
        <v>2903</v>
      </c>
      <c r="E775" s="16" t="s">
        <v>2904</v>
      </c>
      <c r="F775" s="16" t="s">
        <v>2882</v>
      </c>
      <c r="G775" s="16" t="s">
        <v>2883</v>
      </c>
      <c r="H775" s="108" t="s">
        <v>1844</v>
      </c>
      <c r="I775" s="277" t="s">
        <v>2857</v>
      </c>
      <c r="J775" s="181" t="s">
        <v>1105</v>
      </c>
      <c r="K775" s="181"/>
    </row>
    <row r="776" spans="1:11">
      <c r="A776" s="276">
        <v>683</v>
      </c>
      <c r="B776" s="16" t="s">
        <v>2905</v>
      </c>
      <c r="C776" s="16" t="s">
        <v>2906</v>
      </c>
      <c r="D776" s="16" t="s">
        <v>2907</v>
      </c>
      <c r="E776" s="16" t="s">
        <v>2908</v>
      </c>
      <c r="F776" s="16" t="s">
        <v>2882</v>
      </c>
      <c r="G776" s="16" t="s">
        <v>2883</v>
      </c>
      <c r="H776" s="108" t="s">
        <v>1844</v>
      </c>
      <c r="I776" s="277" t="s">
        <v>2857</v>
      </c>
      <c r="J776" s="181" t="s">
        <v>1105</v>
      </c>
      <c r="K776" s="181"/>
    </row>
    <row r="777" spans="1:11">
      <c r="A777" s="276">
        <v>684</v>
      </c>
      <c r="B777" s="16" t="s">
        <v>2909</v>
      </c>
      <c r="C777" s="16" t="s">
        <v>2910</v>
      </c>
      <c r="D777" s="16" t="s">
        <v>2911</v>
      </c>
      <c r="E777" s="16" t="s">
        <v>2912</v>
      </c>
      <c r="F777" s="16" t="s">
        <v>2882</v>
      </c>
      <c r="G777" s="16" t="s">
        <v>2883</v>
      </c>
      <c r="H777" s="108" t="s">
        <v>1844</v>
      </c>
      <c r="I777" s="277" t="s">
        <v>2857</v>
      </c>
      <c r="J777" s="181" t="s">
        <v>1105</v>
      </c>
      <c r="K777" s="181"/>
    </row>
    <row r="778" spans="1:11">
      <c r="A778" s="276">
        <v>685</v>
      </c>
      <c r="B778" s="16" t="s">
        <v>2913</v>
      </c>
      <c r="C778" s="16" t="s">
        <v>2914</v>
      </c>
      <c r="D778" s="16" t="s">
        <v>2915</v>
      </c>
      <c r="E778" s="16" t="s">
        <v>2916</v>
      </c>
      <c r="F778" s="16" t="s">
        <v>2917</v>
      </c>
      <c r="G778" s="16" t="s">
        <v>2918</v>
      </c>
      <c r="H778" s="108" t="s">
        <v>1844</v>
      </c>
      <c r="I778" s="275" t="s">
        <v>2919</v>
      </c>
      <c r="J778" s="181" t="s">
        <v>1157</v>
      </c>
      <c r="K778" s="181"/>
    </row>
    <row r="779" spans="1:11">
      <c r="A779" s="276">
        <v>686</v>
      </c>
      <c r="B779" s="16" t="s">
        <v>2920</v>
      </c>
      <c r="C779" s="16" t="s">
        <v>2921</v>
      </c>
      <c r="D779" s="16" t="s">
        <v>2922</v>
      </c>
      <c r="E779" s="16" t="s">
        <v>2923</v>
      </c>
      <c r="F779" s="16" t="s">
        <v>1040</v>
      </c>
      <c r="G779" s="16" t="s">
        <v>1041</v>
      </c>
      <c r="H779" s="108" t="s">
        <v>1844</v>
      </c>
      <c r="I779" s="275" t="s">
        <v>2919</v>
      </c>
      <c r="J779" s="181" t="s">
        <v>1105</v>
      </c>
      <c r="K779" s="181"/>
    </row>
    <row r="780" spans="1:11">
      <c r="A780" s="276">
        <v>687</v>
      </c>
      <c r="B780" s="16" t="s">
        <v>1547</v>
      </c>
      <c r="C780" s="16" t="s">
        <v>2924</v>
      </c>
      <c r="D780" s="16" t="s">
        <v>2925</v>
      </c>
      <c r="E780" s="16" t="s">
        <v>2926</v>
      </c>
      <c r="F780" s="16" t="s">
        <v>1040</v>
      </c>
      <c r="G780" s="16" t="s">
        <v>1041</v>
      </c>
      <c r="H780" s="108" t="s">
        <v>1844</v>
      </c>
      <c r="I780" s="275" t="s">
        <v>2919</v>
      </c>
      <c r="J780" s="181" t="s">
        <v>1105</v>
      </c>
      <c r="K780" s="181"/>
    </row>
    <row r="781" spans="1:11">
      <c r="A781" s="276">
        <v>688</v>
      </c>
      <c r="B781" s="16" t="s">
        <v>2927</v>
      </c>
      <c r="C781" s="16" t="s">
        <v>2928</v>
      </c>
      <c r="D781" s="16" t="s">
        <v>2929</v>
      </c>
      <c r="E781" s="16" t="s">
        <v>2930</v>
      </c>
      <c r="F781" s="16" t="s">
        <v>1040</v>
      </c>
      <c r="G781" s="16" t="s">
        <v>1041</v>
      </c>
      <c r="H781" s="108" t="s">
        <v>1844</v>
      </c>
      <c r="I781" s="275" t="s">
        <v>2919</v>
      </c>
      <c r="J781" s="181" t="s">
        <v>1105</v>
      </c>
      <c r="K781" s="181"/>
    </row>
    <row r="782" spans="1:11">
      <c r="A782" s="276">
        <v>689</v>
      </c>
      <c r="B782" s="16" t="s">
        <v>1551</v>
      </c>
      <c r="C782" s="16" t="s">
        <v>2931</v>
      </c>
      <c r="D782" s="16" t="s">
        <v>1553</v>
      </c>
      <c r="E782" s="16" t="s">
        <v>2932</v>
      </c>
      <c r="F782" s="16" t="s">
        <v>1040</v>
      </c>
      <c r="G782" s="16" t="s">
        <v>1041</v>
      </c>
      <c r="H782" s="108" t="s">
        <v>1844</v>
      </c>
      <c r="I782" s="275" t="s">
        <v>2919</v>
      </c>
      <c r="J782" s="181" t="s">
        <v>1105</v>
      </c>
      <c r="K782" s="181"/>
    </row>
    <row r="783" spans="1:11">
      <c r="A783" s="276">
        <v>690</v>
      </c>
      <c r="B783" s="16" t="s">
        <v>2933</v>
      </c>
      <c r="C783" s="16" t="s">
        <v>2934</v>
      </c>
      <c r="D783" s="16" t="s">
        <v>2935</v>
      </c>
      <c r="E783" s="16" t="s">
        <v>2936</v>
      </c>
      <c r="F783" s="16" t="s">
        <v>1040</v>
      </c>
      <c r="G783" s="16" t="s">
        <v>1041</v>
      </c>
      <c r="H783" s="108" t="s">
        <v>1844</v>
      </c>
      <c r="I783" s="275" t="s">
        <v>2919</v>
      </c>
      <c r="J783" s="181" t="s">
        <v>1105</v>
      </c>
      <c r="K783" s="181"/>
    </row>
    <row r="784" spans="1:11">
      <c r="A784" s="276">
        <v>691</v>
      </c>
      <c r="B784" s="16" t="s">
        <v>2937</v>
      </c>
      <c r="C784" s="16" t="s">
        <v>2938</v>
      </c>
      <c r="D784" s="16" t="s">
        <v>2939</v>
      </c>
      <c r="E784" s="16" t="s">
        <v>2940</v>
      </c>
      <c r="F784" s="16" t="s">
        <v>1040</v>
      </c>
      <c r="G784" s="16" t="s">
        <v>1041</v>
      </c>
      <c r="H784" s="108" t="s">
        <v>1844</v>
      </c>
      <c r="I784" s="275" t="s">
        <v>2919</v>
      </c>
      <c r="J784" s="181" t="s">
        <v>1105</v>
      </c>
      <c r="K784" s="181"/>
    </row>
    <row r="785" spans="1:10">
      <c r="A785" s="276">
        <v>692</v>
      </c>
      <c r="B785" s="16" t="s">
        <v>2941</v>
      </c>
      <c r="C785" s="16" t="s">
        <v>2942</v>
      </c>
      <c r="D785" s="16" t="s">
        <v>2943</v>
      </c>
      <c r="E785" s="16" t="s">
        <v>2944</v>
      </c>
      <c r="F785" s="16" t="s">
        <v>1040</v>
      </c>
      <c r="G785" s="16" t="s">
        <v>1041</v>
      </c>
      <c r="H785" s="108" t="s">
        <v>1844</v>
      </c>
      <c r="I785" s="275" t="s">
        <v>2919</v>
      </c>
      <c r="J785" s="181" t="s">
        <v>1157</v>
      </c>
    </row>
    <row r="786" spans="1:10">
      <c r="A786" s="276">
        <v>693</v>
      </c>
      <c r="B786" s="16" t="s">
        <v>2945</v>
      </c>
      <c r="C786" s="16" t="s">
        <v>2946</v>
      </c>
      <c r="D786" s="16" t="s">
        <v>2947</v>
      </c>
      <c r="E786" s="16" t="s">
        <v>2948</v>
      </c>
      <c r="F786" s="16" t="s">
        <v>2949</v>
      </c>
      <c r="G786" s="16" t="s">
        <v>2950</v>
      </c>
      <c r="H786" s="108" t="s">
        <v>1844</v>
      </c>
      <c r="I786" s="275" t="s">
        <v>2919</v>
      </c>
      <c r="J786" s="181" t="s">
        <v>1105</v>
      </c>
    </row>
    <row r="787" spans="1:10">
      <c r="A787" s="276">
        <v>694</v>
      </c>
      <c r="B787" s="16" t="s">
        <v>2951</v>
      </c>
      <c r="C787" s="16" t="s">
        <v>2952</v>
      </c>
      <c r="D787" s="16" t="s">
        <v>2953</v>
      </c>
      <c r="E787" s="16" t="s">
        <v>2954</v>
      </c>
      <c r="F787" s="16" t="s">
        <v>2955</v>
      </c>
      <c r="G787" s="16" t="s">
        <v>2956</v>
      </c>
      <c r="H787" s="108" t="s">
        <v>1844</v>
      </c>
      <c r="I787" s="275" t="s">
        <v>2919</v>
      </c>
      <c r="J787" s="181" t="s">
        <v>1157</v>
      </c>
    </row>
    <row r="788" spans="1:10">
      <c r="A788" s="276">
        <v>695</v>
      </c>
      <c r="B788" s="16" t="s">
        <v>2957</v>
      </c>
      <c r="C788" s="16" t="s">
        <v>2958</v>
      </c>
      <c r="D788" s="16" t="s">
        <v>2959</v>
      </c>
      <c r="E788" s="16" t="s">
        <v>2960</v>
      </c>
      <c r="F788" s="16" t="s">
        <v>2955</v>
      </c>
      <c r="G788" s="16" t="s">
        <v>2956</v>
      </c>
      <c r="H788" s="108" t="s">
        <v>1844</v>
      </c>
      <c r="I788" s="275" t="s">
        <v>2919</v>
      </c>
      <c r="J788" s="181" t="s">
        <v>1105</v>
      </c>
    </row>
    <row r="789" spans="1:10">
      <c r="A789" s="276">
        <v>696</v>
      </c>
      <c r="B789" s="16" t="s">
        <v>2961</v>
      </c>
      <c r="C789" s="16" t="s">
        <v>2962</v>
      </c>
      <c r="D789" s="16" t="s">
        <v>2963</v>
      </c>
      <c r="E789" s="16" t="s">
        <v>2964</v>
      </c>
      <c r="F789" s="16" t="s">
        <v>2955</v>
      </c>
      <c r="G789" s="16" t="s">
        <v>2956</v>
      </c>
      <c r="H789" s="108" t="s">
        <v>1844</v>
      </c>
      <c r="I789" s="275" t="s">
        <v>2919</v>
      </c>
      <c r="J789" s="181" t="s">
        <v>1157</v>
      </c>
    </row>
    <row r="790" spans="1:10">
      <c r="A790" s="276">
        <v>697</v>
      </c>
      <c r="B790" s="16" t="s">
        <v>2965</v>
      </c>
      <c r="C790" s="16" t="s">
        <v>2966</v>
      </c>
      <c r="D790" s="16" t="s">
        <v>2967</v>
      </c>
      <c r="E790" s="16" t="s">
        <v>2968</v>
      </c>
      <c r="F790" s="16" t="s">
        <v>2955</v>
      </c>
      <c r="G790" s="16" t="s">
        <v>2956</v>
      </c>
      <c r="H790" s="108" t="s">
        <v>1844</v>
      </c>
      <c r="I790" s="275" t="s">
        <v>2919</v>
      </c>
      <c r="J790" s="181" t="s">
        <v>1105</v>
      </c>
    </row>
    <row r="791" spans="1:10">
      <c r="A791" s="276">
        <v>698</v>
      </c>
      <c r="B791" s="16" t="s">
        <v>2969</v>
      </c>
      <c r="C791" s="16" t="s">
        <v>2970</v>
      </c>
      <c r="D791" s="16" t="s">
        <v>2971</v>
      </c>
      <c r="E791" s="16" t="s">
        <v>2972</v>
      </c>
      <c r="F791" s="16" t="s">
        <v>2955</v>
      </c>
      <c r="G791" s="16" t="s">
        <v>2956</v>
      </c>
      <c r="H791" s="108" t="s">
        <v>1844</v>
      </c>
      <c r="I791" s="275" t="s">
        <v>2919</v>
      </c>
      <c r="J791" s="181" t="s">
        <v>1105</v>
      </c>
    </row>
    <row r="792" spans="1:10">
      <c r="A792" s="276">
        <v>699</v>
      </c>
      <c r="B792" s="16" t="s">
        <v>2973</v>
      </c>
      <c r="C792" s="16" t="s">
        <v>2974</v>
      </c>
      <c r="D792" s="16" t="s">
        <v>2975</v>
      </c>
      <c r="E792" s="16" t="s">
        <v>2976</v>
      </c>
      <c r="F792" s="16" t="s">
        <v>2955</v>
      </c>
      <c r="G792" s="16" t="s">
        <v>2956</v>
      </c>
      <c r="H792" s="108" t="s">
        <v>1844</v>
      </c>
      <c r="I792" s="277" t="s">
        <v>2977</v>
      </c>
      <c r="J792" s="181" t="s">
        <v>1157</v>
      </c>
    </row>
    <row r="793" spans="1:10">
      <c r="A793" s="276">
        <v>700</v>
      </c>
      <c r="B793" s="16" t="s">
        <v>2259</v>
      </c>
      <c r="C793" s="16" t="s">
        <v>2978</v>
      </c>
      <c r="D793" s="16" t="s">
        <v>2261</v>
      </c>
      <c r="E793" s="16" t="s">
        <v>2262</v>
      </c>
      <c r="F793" s="16" t="s">
        <v>2263</v>
      </c>
      <c r="G793" s="16" t="s">
        <v>2264</v>
      </c>
      <c r="H793" s="108" t="s">
        <v>1835</v>
      </c>
      <c r="I793" s="277" t="s">
        <v>2977</v>
      </c>
      <c r="J793" s="590" t="s">
        <v>2979</v>
      </c>
    </row>
    <row r="794" spans="1:10">
      <c r="A794" s="276">
        <v>701</v>
      </c>
      <c r="B794" s="16" t="s">
        <v>2265</v>
      </c>
      <c r="C794" s="16" t="s">
        <v>2980</v>
      </c>
      <c r="D794" s="16" t="s">
        <v>2267</v>
      </c>
      <c r="E794" s="16" t="s">
        <v>2268</v>
      </c>
      <c r="F794" s="16" t="s">
        <v>2263</v>
      </c>
      <c r="G794" s="16" t="s">
        <v>2264</v>
      </c>
      <c r="H794" s="108" t="s">
        <v>1835</v>
      </c>
      <c r="I794" s="277" t="s">
        <v>2977</v>
      </c>
      <c r="J794" s="590"/>
    </row>
    <row r="795" spans="1:10">
      <c r="A795" s="276">
        <v>702</v>
      </c>
      <c r="B795" s="16" t="s">
        <v>2981</v>
      </c>
      <c r="C795" s="16" t="s">
        <v>2982</v>
      </c>
      <c r="D795" s="16" t="s">
        <v>2983</v>
      </c>
      <c r="E795" s="16" t="s">
        <v>2984</v>
      </c>
      <c r="F795" s="16" t="s">
        <v>2263</v>
      </c>
      <c r="G795" s="16" t="s">
        <v>2264</v>
      </c>
      <c r="H795" s="108" t="s">
        <v>1835</v>
      </c>
      <c r="I795" s="277" t="s">
        <v>2977</v>
      </c>
      <c r="J795" s="590"/>
    </row>
    <row r="796" spans="1:10">
      <c r="A796" s="276">
        <v>703</v>
      </c>
      <c r="B796" s="16" t="s">
        <v>2985</v>
      </c>
      <c r="C796" s="16" t="s">
        <v>2986</v>
      </c>
      <c r="D796" s="16" t="s">
        <v>2987</v>
      </c>
      <c r="E796" s="16" t="s">
        <v>2988</v>
      </c>
      <c r="F796" s="16" t="s">
        <v>2263</v>
      </c>
      <c r="G796" s="16" t="s">
        <v>2264</v>
      </c>
      <c r="H796" s="108" t="s">
        <v>2989</v>
      </c>
      <c r="I796" s="277" t="s">
        <v>2977</v>
      </c>
      <c r="J796" s="590"/>
    </row>
    <row r="797" spans="1:10">
      <c r="A797" s="276">
        <v>704</v>
      </c>
      <c r="B797" s="16" t="s">
        <v>2445</v>
      </c>
      <c r="C797" s="16" t="s">
        <v>2446</v>
      </c>
      <c r="D797" s="16" t="s">
        <v>2447</v>
      </c>
      <c r="E797" s="16" t="s">
        <v>2448</v>
      </c>
      <c r="F797" s="16" t="s">
        <v>1171</v>
      </c>
      <c r="G797" s="16" t="s">
        <v>1061</v>
      </c>
      <c r="H797" s="108" t="s">
        <v>1844</v>
      </c>
      <c r="I797" s="277" t="s">
        <v>2977</v>
      </c>
      <c r="J797" s="181" t="s">
        <v>1157</v>
      </c>
    </row>
    <row r="798" spans="1:10">
      <c r="A798" s="276">
        <v>705</v>
      </c>
      <c r="B798" s="16" t="s">
        <v>2990</v>
      </c>
      <c r="C798" s="16" t="s">
        <v>2991</v>
      </c>
      <c r="D798" s="16" t="s">
        <v>2992</v>
      </c>
      <c r="E798" s="16" t="s">
        <v>2993</v>
      </c>
      <c r="F798" s="16" t="s">
        <v>1171</v>
      </c>
      <c r="G798" s="16" t="s">
        <v>1061</v>
      </c>
      <c r="H798" s="108" t="s">
        <v>1735</v>
      </c>
      <c r="I798" s="277" t="s">
        <v>2977</v>
      </c>
      <c r="J798" s="181" t="s">
        <v>1157</v>
      </c>
    </row>
    <row r="799" spans="1:10">
      <c r="A799" s="276">
        <v>706</v>
      </c>
      <c r="B799" s="16" t="s">
        <v>2994</v>
      </c>
      <c r="C799" s="16" t="s">
        <v>2995</v>
      </c>
      <c r="D799" s="16" t="s">
        <v>2996</v>
      </c>
      <c r="E799" s="16" t="s">
        <v>2997</v>
      </c>
      <c r="F799" s="16" t="s">
        <v>1171</v>
      </c>
      <c r="G799" s="16" t="s">
        <v>1061</v>
      </c>
      <c r="H799" s="108" t="s">
        <v>1735</v>
      </c>
      <c r="I799" s="277" t="s">
        <v>2977</v>
      </c>
      <c r="J799" s="181" t="s">
        <v>1105</v>
      </c>
    </row>
    <row r="800" spans="1:10">
      <c r="A800" s="276">
        <v>707</v>
      </c>
      <c r="B800" s="370" t="s">
        <v>2998</v>
      </c>
      <c r="C800" s="370" t="s">
        <v>2999</v>
      </c>
      <c r="D800" s="370" t="s">
        <v>3000</v>
      </c>
      <c r="E800" s="370" t="s">
        <v>3001</v>
      </c>
      <c r="F800" s="370" t="s">
        <v>1171</v>
      </c>
      <c r="G800" s="370" t="s">
        <v>1061</v>
      </c>
      <c r="H800" s="371" t="s">
        <v>1735</v>
      </c>
      <c r="I800" s="277" t="s">
        <v>2977</v>
      </c>
      <c r="J800" s="181" t="s">
        <v>1157</v>
      </c>
    </row>
    <row r="801" spans="1:11">
      <c r="A801" s="161"/>
      <c r="B801" s="113"/>
      <c r="C801" s="113"/>
      <c r="D801" s="113"/>
      <c r="E801" s="113"/>
      <c r="F801" s="113"/>
      <c r="G801" s="113"/>
      <c r="H801" s="193"/>
      <c r="I801" s="275"/>
      <c r="J801" s="181"/>
      <c r="K801" s="181"/>
    </row>
    <row r="802" spans="1:11">
      <c r="A802" s="161"/>
      <c r="B802" s="113"/>
      <c r="C802" s="113"/>
      <c r="D802" s="113"/>
      <c r="E802" s="113"/>
      <c r="F802" s="113"/>
      <c r="G802" s="113"/>
      <c r="H802" s="193"/>
      <c r="I802" s="275"/>
      <c r="J802" s="181"/>
      <c r="K802" s="181"/>
    </row>
    <row r="803" spans="1:11">
      <c r="A803" s="276">
        <v>708</v>
      </c>
      <c r="B803" s="372" t="s">
        <v>2892</v>
      </c>
      <c r="C803" s="373" t="s">
        <v>2893</v>
      </c>
      <c r="D803" s="374" t="s">
        <v>2894</v>
      </c>
      <c r="E803" s="375" t="s">
        <v>2895</v>
      </c>
      <c r="F803" s="376" t="s">
        <v>2882</v>
      </c>
      <c r="G803" s="376" t="s">
        <v>2883</v>
      </c>
      <c r="H803" s="377" t="s">
        <v>1844</v>
      </c>
      <c r="I803" s="275" t="s">
        <v>3002</v>
      </c>
      <c r="J803" s="181" t="s">
        <v>1105</v>
      </c>
      <c r="K803" s="181"/>
    </row>
    <row r="804" spans="1:11">
      <c r="A804" s="276">
        <v>709</v>
      </c>
      <c r="B804" s="378" t="s">
        <v>3003</v>
      </c>
      <c r="C804" s="379" t="s">
        <v>3004</v>
      </c>
      <c r="D804" s="380" t="s">
        <v>3005</v>
      </c>
      <c r="E804" s="278" t="s">
        <v>3006</v>
      </c>
      <c r="F804" s="378" t="s">
        <v>387</v>
      </c>
      <c r="G804" s="378" t="s">
        <v>1018</v>
      </c>
      <c r="H804" s="381" t="s">
        <v>1844</v>
      </c>
      <c r="I804" s="275" t="s">
        <v>3002</v>
      </c>
      <c r="J804" s="181" t="s">
        <v>1105</v>
      </c>
      <c r="K804" s="181"/>
    </row>
    <row r="805" spans="1:11">
      <c r="A805" s="276">
        <v>710</v>
      </c>
      <c r="B805" s="378" t="s">
        <v>3007</v>
      </c>
      <c r="C805" s="379" t="s">
        <v>3008</v>
      </c>
      <c r="D805" s="380" t="s">
        <v>3009</v>
      </c>
      <c r="E805" s="382" t="s">
        <v>3010</v>
      </c>
      <c r="F805" s="378" t="s">
        <v>755</v>
      </c>
      <c r="G805" s="378" t="s">
        <v>2453</v>
      </c>
      <c r="H805" s="381" t="s">
        <v>1844</v>
      </c>
      <c r="I805" s="275" t="s">
        <v>3002</v>
      </c>
      <c r="J805" s="181" t="s">
        <v>1105</v>
      </c>
      <c r="K805" s="181"/>
    </row>
    <row r="806" spans="1:11">
      <c r="A806" s="276">
        <v>711</v>
      </c>
      <c r="B806" s="378" t="s">
        <v>2695</v>
      </c>
      <c r="C806" s="379" t="s">
        <v>3011</v>
      </c>
      <c r="D806" s="380" t="s">
        <v>2697</v>
      </c>
      <c r="E806" s="278" t="s">
        <v>3012</v>
      </c>
      <c r="F806" s="378" t="s">
        <v>755</v>
      </c>
      <c r="G806" s="378" t="s">
        <v>2453</v>
      </c>
      <c r="H806" s="381" t="s">
        <v>1844</v>
      </c>
      <c r="I806" s="275" t="s">
        <v>3002</v>
      </c>
      <c r="J806" s="181" t="s">
        <v>1157</v>
      </c>
      <c r="K806" s="181"/>
    </row>
    <row r="807" spans="1:11">
      <c r="A807" s="276">
        <v>712</v>
      </c>
      <c r="B807" s="378" t="s">
        <v>3013</v>
      </c>
      <c r="C807" s="379" t="s">
        <v>3014</v>
      </c>
      <c r="D807" s="380" t="s">
        <v>3015</v>
      </c>
      <c r="E807" s="382" t="s">
        <v>3016</v>
      </c>
      <c r="F807" s="378" t="s">
        <v>755</v>
      </c>
      <c r="G807" s="378" t="s">
        <v>2453</v>
      </c>
      <c r="H807" s="381" t="s">
        <v>1844</v>
      </c>
      <c r="I807" s="275" t="s">
        <v>3002</v>
      </c>
      <c r="J807" s="181" t="s">
        <v>1105</v>
      </c>
      <c r="K807" s="181"/>
    </row>
    <row r="808" spans="1:11">
      <c r="A808" s="276">
        <v>713</v>
      </c>
      <c r="B808" s="383" t="s">
        <v>3017</v>
      </c>
      <c r="C808" s="384" t="s">
        <v>3018</v>
      </c>
      <c r="D808" s="385" t="s">
        <v>3019</v>
      </c>
      <c r="E808" s="386" t="s">
        <v>3020</v>
      </c>
      <c r="F808" s="383" t="s">
        <v>755</v>
      </c>
      <c r="G808" s="383" t="s">
        <v>2453</v>
      </c>
      <c r="H808" s="381" t="s">
        <v>1844</v>
      </c>
      <c r="I808" s="275" t="s">
        <v>3002</v>
      </c>
      <c r="J808" s="181" t="s">
        <v>1157</v>
      </c>
      <c r="K808" s="181"/>
    </row>
    <row r="809" spans="1:11">
      <c r="A809" s="276">
        <v>714</v>
      </c>
      <c r="B809" s="383" t="s">
        <v>3021</v>
      </c>
      <c r="C809" s="384" t="s">
        <v>3022</v>
      </c>
      <c r="D809" s="385" t="s">
        <v>3023</v>
      </c>
      <c r="E809" s="279" t="s">
        <v>3024</v>
      </c>
      <c r="F809" s="383" t="s">
        <v>755</v>
      </c>
      <c r="G809" s="383" t="s">
        <v>2453</v>
      </c>
      <c r="H809" s="381" t="s">
        <v>1844</v>
      </c>
      <c r="I809" s="275" t="s">
        <v>3002</v>
      </c>
      <c r="J809" s="181" t="s">
        <v>1157</v>
      </c>
      <c r="K809" s="181"/>
    </row>
    <row r="810" spans="1:11">
      <c r="A810" s="276">
        <v>715</v>
      </c>
      <c r="B810" s="378" t="s">
        <v>3025</v>
      </c>
      <c r="C810" s="387" t="s">
        <v>3026</v>
      </c>
      <c r="D810" s="380" t="s">
        <v>3027</v>
      </c>
      <c r="E810" s="280" t="s">
        <v>3028</v>
      </c>
      <c r="F810" s="378" t="s">
        <v>755</v>
      </c>
      <c r="G810" s="378" t="s">
        <v>2453</v>
      </c>
      <c r="H810" s="381" t="s">
        <v>1844</v>
      </c>
      <c r="I810" s="275" t="s">
        <v>3002</v>
      </c>
      <c r="J810" s="181" t="s">
        <v>1105</v>
      </c>
      <c r="K810" s="181"/>
    </row>
    <row r="811" spans="1:11">
      <c r="A811" s="276">
        <v>716</v>
      </c>
      <c r="B811" s="388" t="s">
        <v>798</v>
      </c>
      <c r="C811" s="388" t="s">
        <v>3029</v>
      </c>
      <c r="D811" s="385" t="s">
        <v>800</v>
      </c>
      <c r="E811" s="280" t="s">
        <v>3030</v>
      </c>
      <c r="F811" s="378" t="s">
        <v>755</v>
      </c>
      <c r="G811" s="378" t="s">
        <v>2453</v>
      </c>
      <c r="H811" s="381" t="s">
        <v>1844</v>
      </c>
      <c r="I811" s="275" t="s">
        <v>3002</v>
      </c>
      <c r="J811" s="181" t="s">
        <v>1105</v>
      </c>
      <c r="K811" s="181"/>
    </row>
    <row r="812" spans="1:11">
      <c r="A812" s="276">
        <v>717</v>
      </c>
      <c r="B812" s="378" t="s">
        <v>3031</v>
      </c>
      <c r="C812" s="387" t="s">
        <v>3032</v>
      </c>
      <c r="D812" s="380" t="s">
        <v>3033</v>
      </c>
      <c r="E812" s="280" t="s">
        <v>3034</v>
      </c>
      <c r="F812" s="378" t="s">
        <v>755</v>
      </c>
      <c r="G812" s="378" t="s">
        <v>2453</v>
      </c>
      <c r="H812" s="381" t="s">
        <v>1844</v>
      </c>
      <c r="I812" s="275" t="s">
        <v>3002</v>
      </c>
      <c r="J812" s="181" t="s">
        <v>1157</v>
      </c>
      <c r="K812" s="181"/>
    </row>
    <row r="813" spans="1:11">
      <c r="A813" s="276">
        <v>718</v>
      </c>
      <c r="B813" s="378" t="s">
        <v>445</v>
      </c>
      <c r="C813" s="387" t="s">
        <v>3035</v>
      </c>
      <c r="D813" s="380" t="s">
        <v>3036</v>
      </c>
      <c r="E813" s="389" t="s">
        <v>3037</v>
      </c>
      <c r="F813" s="378" t="s">
        <v>755</v>
      </c>
      <c r="G813" s="378" t="s">
        <v>2453</v>
      </c>
      <c r="H813" s="381" t="s">
        <v>1844</v>
      </c>
      <c r="I813" s="275" t="s">
        <v>3002</v>
      </c>
      <c r="J813" s="181" t="s">
        <v>1157</v>
      </c>
      <c r="K813" s="181"/>
    </row>
    <row r="814" spans="1:11">
      <c r="A814" s="276">
        <v>719</v>
      </c>
      <c r="B814" s="378" t="s">
        <v>3038</v>
      </c>
      <c r="C814" s="387" t="s">
        <v>3039</v>
      </c>
      <c r="D814" s="390" t="s">
        <v>3040</v>
      </c>
      <c r="E814" s="280" t="s">
        <v>3041</v>
      </c>
      <c r="F814" s="378" t="s">
        <v>755</v>
      </c>
      <c r="G814" s="378" t="s">
        <v>2453</v>
      </c>
      <c r="H814" s="381" t="s">
        <v>1844</v>
      </c>
      <c r="I814" s="275" t="s">
        <v>3002</v>
      </c>
      <c r="J814" s="181" t="s">
        <v>1157</v>
      </c>
      <c r="K814" s="181"/>
    </row>
    <row r="815" spans="1:11">
      <c r="A815" s="276">
        <v>720</v>
      </c>
      <c r="B815" s="378" t="s">
        <v>3042</v>
      </c>
      <c r="C815" s="379" t="s">
        <v>3043</v>
      </c>
      <c r="D815" s="390" t="s">
        <v>3044</v>
      </c>
      <c r="E815" s="382" t="s">
        <v>3045</v>
      </c>
      <c r="F815" s="378" t="s">
        <v>755</v>
      </c>
      <c r="G815" s="378" t="s">
        <v>2453</v>
      </c>
      <c r="H815" s="381" t="s">
        <v>1844</v>
      </c>
      <c r="I815" s="275" t="s">
        <v>3002</v>
      </c>
      <c r="J815" s="181" t="s">
        <v>1105</v>
      </c>
      <c r="K815" s="181"/>
    </row>
    <row r="816" spans="1:11">
      <c r="A816" s="276">
        <v>721</v>
      </c>
      <c r="B816" s="378" t="s">
        <v>2303</v>
      </c>
      <c r="C816" s="379" t="s">
        <v>3046</v>
      </c>
      <c r="D816" s="390" t="s">
        <v>2305</v>
      </c>
      <c r="E816" s="278" t="s">
        <v>2306</v>
      </c>
      <c r="F816" s="378" t="s">
        <v>755</v>
      </c>
      <c r="G816" s="378" t="s">
        <v>2453</v>
      </c>
      <c r="H816" s="381" t="s">
        <v>1844</v>
      </c>
      <c r="I816" s="275" t="s">
        <v>3002</v>
      </c>
      <c r="J816" s="181" t="s">
        <v>1157</v>
      </c>
      <c r="K816" s="181" t="s">
        <v>3047</v>
      </c>
    </row>
    <row r="817" spans="1:11">
      <c r="A817" s="276">
        <v>722</v>
      </c>
      <c r="B817" s="378" t="s">
        <v>3048</v>
      </c>
      <c r="C817" s="379" t="s">
        <v>3049</v>
      </c>
      <c r="D817" s="390" t="s">
        <v>3050</v>
      </c>
      <c r="E817" s="382" t="s">
        <v>3051</v>
      </c>
      <c r="F817" s="378" t="s">
        <v>755</v>
      </c>
      <c r="G817" s="378" t="s">
        <v>2453</v>
      </c>
      <c r="H817" s="381" t="s">
        <v>1844</v>
      </c>
      <c r="I817" s="277" t="s">
        <v>3052</v>
      </c>
      <c r="J817" s="181" t="s">
        <v>1105</v>
      </c>
      <c r="K817" s="181"/>
    </row>
    <row r="818" spans="1:11">
      <c r="A818" s="276">
        <v>723</v>
      </c>
      <c r="B818" s="378" t="s">
        <v>2691</v>
      </c>
      <c r="C818" s="379" t="s">
        <v>3053</v>
      </c>
      <c r="D818" s="380" t="s">
        <v>2693</v>
      </c>
      <c r="E818" s="382" t="s">
        <v>3054</v>
      </c>
      <c r="F818" s="378" t="s">
        <v>755</v>
      </c>
      <c r="G818" s="378" t="s">
        <v>2453</v>
      </c>
      <c r="H818" s="381" t="s">
        <v>1844</v>
      </c>
      <c r="I818" s="277" t="s">
        <v>3052</v>
      </c>
      <c r="J818" s="181" t="s">
        <v>1157</v>
      </c>
      <c r="K818" s="181" t="s">
        <v>3047</v>
      </c>
    </row>
    <row r="819" spans="1:11">
      <c r="A819" s="276">
        <v>724</v>
      </c>
      <c r="B819" s="391" t="s">
        <v>3055</v>
      </c>
      <c r="C819" s="391" t="s">
        <v>3056</v>
      </c>
      <c r="D819" s="392" t="s">
        <v>3057</v>
      </c>
      <c r="E819" s="393" t="s">
        <v>3058</v>
      </c>
      <c r="F819" s="394" t="s">
        <v>641</v>
      </c>
      <c r="G819" s="394" t="s">
        <v>642</v>
      </c>
      <c r="H819" s="395" t="s">
        <v>1844</v>
      </c>
      <c r="I819" s="277" t="s">
        <v>3052</v>
      </c>
      <c r="J819" s="181" t="s">
        <v>1105</v>
      </c>
      <c r="K819" s="181"/>
    </row>
    <row r="820" spans="1:11">
      <c r="A820" s="276">
        <v>725</v>
      </c>
      <c r="B820" s="391" t="s">
        <v>2188</v>
      </c>
      <c r="C820" s="391" t="s">
        <v>3059</v>
      </c>
      <c r="D820" s="392" t="s">
        <v>3060</v>
      </c>
      <c r="E820" s="393" t="s">
        <v>3061</v>
      </c>
      <c r="F820" s="394" t="s">
        <v>641</v>
      </c>
      <c r="G820" s="394" t="s">
        <v>642</v>
      </c>
      <c r="H820" s="395" t="s">
        <v>1844</v>
      </c>
      <c r="I820" s="277" t="s">
        <v>3052</v>
      </c>
      <c r="J820" s="181" t="s">
        <v>1105</v>
      </c>
      <c r="K820" s="181"/>
    </row>
    <row r="821" spans="1:11">
      <c r="A821" s="276">
        <v>726</v>
      </c>
      <c r="B821" s="391" t="s">
        <v>3062</v>
      </c>
      <c r="C821" s="391" t="s">
        <v>3063</v>
      </c>
      <c r="D821" s="392" t="s">
        <v>3064</v>
      </c>
      <c r="E821" s="393" t="s">
        <v>3065</v>
      </c>
      <c r="F821" s="394" t="s">
        <v>641</v>
      </c>
      <c r="G821" s="394" t="s">
        <v>642</v>
      </c>
      <c r="H821" s="395" t="s">
        <v>1844</v>
      </c>
      <c r="I821" s="277" t="s">
        <v>3052</v>
      </c>
      <c r="J821" s="181" t="s">
        <v>1105</v>
      </c>
      <c r="K821" s="181"/>
    </row>
    <row r="822" spans="1:11">
      <c r="A822" s="276">
        <v>727</v>
      </c>
      <c r="B822" s="378" t="s">
        <v>3066</v>
      </c>
      <c r="C822" s="379" t="s">
        <v>3067</v>
      </c>
      <c r="D822" s="380" t="s">
        <v>3068</v>
      </c>
      <c r="E822" s="382" t="s">
        <v>3069</v>
      </c>
      <c r="F822" s="378" t="s">
        <v>755</v>
      </c>
      <c r="G822" s="378" t="s">
        <v>2453</v>
      </c>
      <c r="H822" s="381" t="s">
        <v>1735</v>
      </c>
      <c r="I822" s="277" t="s">
        <v>3052</v>
      </c>
      <c r="J822" s="181" t="s">
        <v>1105</v>
      </c>
      <c r="K822" s="181"/>
    </row>
    <row r="823" spans="1:11">
      <c r="A823" s="276">
        <v>728</v>
      </c>
      <c r="B823" s="378" t="s">
        <v>3070</v>
      </c>
      <c r="C823" s="379" t="s">
        <v>3071</v>
      </c>
      <c r="D823" s="380" t="s">
        <v>2309</v>
      </c>
      <c r="E823" s="382" t="s">
        <v>3072</v>
      </c>
      <c r="F823" s="378" t="s">
        <v>755</v>
      </c>
      <c r="G823" s="378" t="s">
        <v>2453</v>
      </c>
      <c r="H823" s="381" t="s">
        <v>1735</v>
      </c>
      <c r="I823" s="277" t="s">
        <v>3052</v>
      </c>
      <c r="J823" s="181" t="s">
        <v>1105</v>
      </c>
      <c r="K823" s="181"/>
    </row>
    <row r="824" spans="1:11">
      <c r="A824" s="276">
        <v>729</v>
      </c>
      <c r="B824" s="378" t="s">
        <v>1605</v>
      </c>
      <c r="C824" s="379" t="s">
        <v>1606</v>
      </c>
      <c r="D824" s="380" t="s">
        <v>3073</v>
      </c>
      <c r="E824" s="278" t="s">
        <v>3074</v>
      </c>
      <c r="F824" s="378" t="s">
        <v>755</v>
      </c>
      <c r="G824" s="378" t="s">
        <v>2453</v>
      </c>
      <c r="H824" s="381" t="s">
        <v>1735</v>
      </c>
      <c r="I824" s="277" t="s">
        <v>3052</v>
      </c>
      <c r="J824" s="181" t="s">
        <v>1105</v>
      </c>
      <c r="K824" s="181"/>
    </row>
    <row r="825" spans="1:11">
      <c r="A825" s="276">
        <v>730</v>
      </c>
      <c r="B825" s="378" t="s">
        <v>3075</v>
      </c>
      <c r="C825" s="379" t="s">
        <v>3076</v>
      </c>
      <c r="D825" s="380" t="s">
        <v>3077</v>
      </c>
      <c r="E825" s="382" t="s">
        <v>3078</v>
      </c>
      <c r="F825" s="378" t="s">
        <v>755</v>
      </c>
      <c r="G825" s="378" t="s">
        <v>2453</v>
      </c>
      <c r="H825" s="381" t="s">
        <v>1735</v>
      </c>
      <c r="I825" s="277" t="s">
        <v>3052</v>
      </c>
      <c r="J825" s="181" t="s">
        <v>1105</v>
      </c>
      <c r="K825" s="181"/>
    </row>
    <row r="826" spans="1:11">
      <c r="A826" s="276">
        <v>731</v>
      </c>
      <c r="B826" s="378" t="s">
        <v>3079</v>
      </c>
      <c r="C826" s="379" t="s">
        <v>3080</v>
      </c>
      <c r="D826" s="380" t="s">
        <v>3081</v>
      </c>
      <c r="E826" s="278" t="s">
        <v>3082</v>
      </c>
      <c r="F826" s="378" t="s">
        <v>755</v>
      </c>
      <c r="G826" s="378" t="s">
        <v>2453</v>
      </c>
      <c r="H826" s="381" t="s">
        <v>1735</v>
      </c>
      <c r="I826" s="277" t="s">
        <v>3052</v>
      </c>
      <c r="J826" s="181" t="s">
        <v>1105</v>
      </c>
      <c r="K826" s="181"/>
    </row>
    <row r="827" spans="1:11">
      <c r="A827" s="276">
        <v>732</v>
      </c>
      <c r="B827" s="378" t="s">
        <v>3083</v>
      </c>
      <c r="C827" s="379" t="s">
        <v>3084</v>
      </c>
      <c r="D827" s="380" t="s">
        <v>3085</v>
      </c>
      <c r="E827" s="382" t="s">
        <v>3086</v>
      </c>
      <c r="F827" s="378" t="s">
        <v>755</v>
      </c>
      <c r="G827" s="378" t="s">
        <v>2453</v>
      </c>
      <c r="H827" s="381" t="s">
        <v>1735</v>
      </c>
      <c r="I827" s="277" t="s">
        <v>3052</v>
      </c>
      <c r="J827" s="181" t="s">
        <v>1105</v>
      </c>
      <c r="K827" s="181"/>
    </row>
    <row r="828" spans="1:11">
      <c r="A828" s="276">
        <v>733</v>
      </c>
      <c r="B828" s="378" t="s">
        <v>3087</v>
      </c>
      <c r="C828" s="379" t="s">
        <v>3088</v>
      </c>
      <c r="D828" s="380" t="s">
        <v>3089</v>
      </c>
      <c r="E828" s="278" t="s">
        <v>3090</v>
      </c>
      <c r="F828" s="378" t="s">
        <v>755</v>
      </c>
      <c r="G828" s="378" t="s">
        <v>2453</v>
      </c>
      <c r="H828" s="381" t="s">
        <v>1735</v>
      </c>
      <c r="I828" s="277" t="s">
        <v>3052</v>
      </c>
      <c r="J828" s="181" t="s">
        <v>1105</v>
      </c>
      <c r="K828" s="181"/>
    </row>
    <row r="829" spans="1:11">
      <c r="A829" s="276">
        <v>734</v>
      </c>
      <c r="B829" s="383" t="s">
        <v>3091</v>
      </c>
      <c r="C829" s="384" t="s">
        <v>3092</v>
      </c>
      <c r="D829" s="396" t="s">
        <v>3093</v>
      </c>
      <c r="E829" s="386" t="s">
        <v>3094</v>
      </c>
      <c r="F829" s="383" t="s">
        <v>755</v>
      </c>
      <c r="G829" s="383" t="s">
        <v>2453</v>
      </c>
      <c r="H829" s="381" t="s">
        <v>1735</v>
      </c>
      <c r="I829" s="277" t="s">
        <v>3052</v>
      </c>
      <c r="J829" s="181" t="s">
        <v>1105</v>
      </c>
      <c r="K829" s="181"/>
    </row>
    <row r="830" spans="1:11">
      <c r="A830" s="276">
        <v>735</v>
      </c>
      <c r="B830" s="378" t="s">
        <v>3095</v>
      </c>
      <c r="C830" s="379" t="s">
        <v>3096</v>
      </c>
      <c r="D830" s="390" t="s">
        <v>3097</v>
      </c>
      <c r="E830" s="382" t="s">
        <v>3098</v>
      </c>
      <c r="F830" s="378" t="s">
        <v>755</v>
      </c>
      <c r="G830" s="378" t="s">
        <v>2453</v>
      </c>
      <c r="H830" s="381" t="s">
        <v>1735</v>
      </c>
      <c r="I830" s="277" t="s">
        <v>3052</v>
      </c>
      <c r="J830" s="181" t="s">
        <v>1105</v>
      </c>
      <c r="K830" s="181"/>
    </row>
    <row r="831" spans="1:11">
      <c r="A831" s="276">
        <v>736</v>
      </c>
      <c r="B831" s="378" t="s">
        <v>3099</v>
      </c>
      <c r="C831" s="379" t="s">
        <v>3100</v>
      </c>
      <c r="D831" s="380" t="s">
        <v>3101</v>
      </c>
      <c r="E831" s="278" t="s">
        <v>3102</v>
      </c>
      <c r="F831" s="378" t="s">
        <v>755</v>
      </c>
      <c r="G831" s="378" t="s">
        <v>2453</v>
      </c>
      <c r="H831" s="381" t="s">
        <v>1735</v>
      </c>
      <c r="I831" s="275" t="s">
        <v>3103</v>
      </c>
      <c r="J831" s="181" t="s">
        <v>1105</v>
      </c>
      <c r="K831" s="181"/>
    </row>
    <row r="832" spans="1:11">
      <c r="A832" s="276">
        <v>737</v>
      </c>
      <c r="B832" s="378" t="s">
        <v>3104</v>
      </c>
      <c r="C832" s="379" t="s">
        <v>3105</v>
      </c>
      <c r="D832" s="380" t="s">
        <v>3106</v>
      </c>
      <c r="E832" s="382" t="s">
        <v>3107</v>
      </c>
      <c r="F832" s="378" t="s">
        <v>755</v>
      </c>
      <c r="G832" s="378" t="s">
        <v>2453</v>
      </c>
      <c r="H832" s="381" t="s">
        <v>1735</v>
      </c>
      <c r="I832" s="275" t="s">
        <v>3103</v>
      </c>
      <c r="J832" s="181" t="s">
        <v>1105</v>
      </c>
      <c r="K832" s="181"/>
    </row>
    <row r="833" spans="1:10">
      <c r="A833" s="276">
        <v>738</v>
      </c>
      <c r="B833" s="378" t="s">
        <v>3108</v>
      </c>
      <c r="C833" s="379" t="s">
        <v>3109</v>
      </c>
      <c r="D833" s="380" t="s">
        <v>3110</v>
      </c>
      <c r="E833" s="278" t="s">
        <v>3111</v>
      </c>
      <c r="F833" s="378" t="s">
        <v>755</v>
      </c>
      <c r="G833" s="378" t="s">
        <v>2453</v>
      </c>
      <c r="H833" s="381" t="s">
        <v>1735</v>
      </c>
      <c r="I833" s="275" t="s">
        <v>3103</v>
      </c>
      <c r="J833" s="181" t="s">
        <v>1105</v>
      </c>
    </row>
    <row r="834" spans="1:10">
      <c r="A834" s="276">
        <v>739</v>
      </c>
      <c r="B834" s="378" t="s">
        <v>3112</v>
      </c>
      <c r="C834" s="379" t="s">
        <v>3113</v>
      </c>
      <c r="D834" s="380" t="s">
        <v>3114</v>
      </c>
      <c r="E834" s="382" t="s">
        <v>3115</v>
      </c>
      <c r="F834" s="378" t="s">
        <v>755</v>
      </c>
      <c r="G834" s="378" t="s">
        <v>2453</v>
      </c>
      <c r="H834" s="381" t="s">
        <v>1735</v>
      </c>
      <c r="I834" s="275" t="s">
        <v>3103</v>
      </c>
      <c r="J834" s="181" t="s">
        <v>1105</v>
      </c>
    </row>
    <row r="835" spans="1:10">
      <c r="A835" s="276">
        <v>740</v>
      </c>
      <c r="B835" s="378" t="s">
        <v>3116</v>
      </c>
      <c r="C835" s="379" t="s">
        <v>3117</v>
      </c>
      <c r="D835" s="380" t="s">
        <v>3118</v>
      </c>
      <c r="E835" s="278" t="s">
        <v>3119</v>
      </c>
      <c r="F835" s="378" t="s">
        <v>755</v>
      </c>
      <c r="G835" s="378" t="s">
        <v>2453</v>
      </c>
      <c r="H835" s="381" t="s">
        <v>1735</v>
      </c>
      <c r="I835" s="275" t="s">
        <v>3103</v>
      </c>
      <c r="J835" s="181" t="s">
        <v>1105</v>
      </c>
    </row>
    <row r="836" spans="1:10">
      <c r="A836" s="276">
        <v>741</v>
      </c>
      <c r="B836" s="378" t="s">
        <v>3120</v>
      </c>
      <c r="C836" s="379" t="s">
        <v>3121</v>
      </c>
      <c r="D836" s="380" t="s">
        <v>3122</v>
      </c>
      <c r="E836" s="382" t="s">
        <v>3123</v>
      </c>
      <c r="F836" s="378" t="s">
        <v>755</v>
      </c>
      <c r="G836" s="378" t="s">
        <v>2453</v>
      </c>
      <c r="H836" s="381" t="s">
        <v>1735</v>
      </c>
      <c r="I836" s="275" t="s">
        <v>3103</v>
      </c>
      <c r="J836" s="181" t="s">
        <v>1105</v>
      </c>
    </row>
    <row r="837" spans="1:10">
      <c r="A837" s="276">
        <v>742</v>
      </c>
      <c r="B837" s="378" t="s">
        <v>3124</v>
      </c>
      <c r="C837" s="379" t="s">
        <v>3125</v>
      </c>
      <c r="D837" s="380" t="s">
        <v>3126</v>
      </c>
      <c r="E837" s="278" t="s">
        <v>3127</v>
      </c>
      <c r="F837" s="378" t="s">
        <v>755</v>
      </c>
      <c r="G837" s="378" t="s">
        <v>2453</v>
      </c>
      <c r="H837" s="397" t="s">
        <v>1735</v>
      </c>
      <c r="I837" s="275" t="s">
        <v>3103</v>
      </c>
      <c r="J837" s="181" t="s">
        <v>1105</v>
      </c>
    </row>
    <row r="838" spans="1:10">
      <c r="A838" s="276">
        <v>743</v>
      </c>
      <c r="B838" s="378" t="s">
        <v>3128</v>
      </c>
      <c r="C838" s="387" t="s">
        <v>3129</v>
      </c>
      <c r="D838" s="380" t="s">
        <v>3130</v>
      </c>
      <c r="E838" s="280" t="s">
        <v>3131</v>
      </c>
      <c r="F838" s="378" t="s">
        <v>755</v>
      </c>
      <c r="G838" s="378" t="s">
        <v>2453</v>
      </c>
      <c r="H838" s="397" t="s">
        <v>1735</v>
      </c>
      <c r="I838" s="275" t="s">
        <v>3103</v>
      </c>
      <c r="J838" s="181" t="s">
        <v>1105</v>
      </c>
    </row>
    <row r="839" spans="1:10">
      <c r="A839" s="276">
        <v>744</v>
      </c>
      <c r="B839" s="398" t="s">
        <v>3132</v>
      </c>
      <c r="C839" s="399" t="s">
        <v>3133</v>
      </c>
      <c r="D839" s="400" t="s">
        <v>3134</v>
      </c>
      <c r="E839" s="401" t="s">
        <v>3135</v>
      </c>
      <c r="F839" s="398" t="s">
        <v>755</v>
      </c>
      <c r="G839" s="398" t="s">
        <v>2453</v>
      </c>
      <c r="H839" s="397" t="s">
        <v>1735</v>
      </c>
      <c r="I839" s="275" t="s">
        <v>3103</v>
      </c>
      <c r="J839" s="181" t="s">
        <v>1105</v>
      </c>
    </row>
    <row r="840" spans="1:10">
      <c r="A840" s="276">
        <v>745</v>
      </c>
      <c r="B840" s="372" t="s">
        <v>2001</v>
      </c>
      <c r="C840" s="373" t="s">
        <v>3136</v>
      </c>
      <c r="D840" s="374" t="s">
        <v>2003</v>
      </c>
      <c r="E840" s="375" t="s">
        <v>2004</v>
      </c>
      <c r="F840" s="376" t="s">
        <v>245</v>
      </c>
      <c r="G840" s="376" t="s">
        <v>3137</v>
      </c>
      <c r="H840" s="377" t="s">
        <v>1735</v>
      </c>
      <c r="I840" s="275" t="s">
        <v>3103</v>
      </c>
      <c r="J840" s="181" t="s">
        <v>1105</v>
      </c>
    </row>
    <row r="841" spans="1:10">
      <c r="A841" s="276">
        <v>746</v>
      </c>
      <c r="B841" s="372" t="s">
        <v>3138</v>
      </c>
      <c r="C841" s="373" t="s">
        <v>3139</v>
      </c>
      <c r="D841" s="374" t="s">
        <v>3140</v>
      </c>
      <c r="E841" s="282" t="s">
        <v>3141</v>
      </c>
      <c r="F841" s="376" t="s">
        <v>245</v>
      </c>
      <c r="G841" s="376" t="s">
        <v>3137</v>
      </c>
      <c r="H841" s="377" t="s">
        <v>1735</v>
      </c>
      <c r="I841" s="275" t="s">
        <v>3103</v>
      </c>
      <c r="J841" s="181" t="s">
        <v>1105</v>
      </c>
    </row>
    <row r="842" spans="1:10">
      <c r="A842" s="276">
        <v>747</v>
      </c>
      <c r="B842" s="372" t="s">
        <v>3142</v>
      </c>
      <c r="C842" s="373" t="s">
        <v>3143</v>
      </c>
      <c r="D842" s="374" t="s">
        <v>3144</v>
      </c>
      <c r="E842" s="375" t="s">
        <v>3145</v>
      </c>
      <c r="F842" s="376" t="s">
        <v>245</v>
      </c>
      <c r="G842" s="376" t="s">
        <v>3137</v>
      </c>
      <c r="H842" s="377" t="s">
        <v>1735</v>
      </c>
      <c r="I842" s="275" t="s">
        <v>3103</v>
      </c>
      <c r="J842" s="181" t="s">
        <v>1105</v>
      </c>
    </row>
    <row r="843" spans="1:10">
      <c r="A843" s="276">
        <v>748</v>
      </c>
      <c r="B843" s="372" t="s">
        <v>3146</v>
      </c>
      <c r="C843" s="373" t="s">
        <v>3147</v>
      </c>
      <c r="D843" s="374" t="s">
        <v>3148</v>
      </c>
      <c r="E843" s="282" t="s">
        <v>3149</v>
      </c>
      <c r="F843" s="376" t="s">
        <v>245</v>
      </c>
      <c r="G843" s="376" t="s">
        <v>3137</v>
      </c>
      <c r="H843" s="377" t="s">
        <v>1735</v>
      </c>
      <c r="I843" s="275" t="s">
        <v>3103</v>
      </c>
      <c r="J843" s="181" t="s">
        <v>1105</v>
      </c>
    </row>
    <row r="844" spans="1:10">
      <c r="A844" s="276">
        <v>749</v>
      </c>
      <c r="B844" s="372" t="s">
        <v>3150</v>
      </c>
      <c r="C844" s="373" t="s">
        <v>3151</v>
      </c>
      <c r="D844" s="374" t="s">
        <v>3152</v>
      </c>
      <c r="E844" s="375" t="s">
        <v>3153</v>
      </c>
      <c r="F844" s="376" t="s">
        <v>245</v>
      </c>
      <c r="G844" s="376" t="s">
        <v>3137</v>
      </c>
      <c r="H844" s="377" t="s">
        <v>1735</v>
      </c>
      <c r="I844" s="275" t="s">
        <v>3103</v>
      </c>
      <c r="J844" s="181" t="s">
        <v>1105</v>
      </c>
    </row>
    <row r="845" spans="1:10">
      <c r="A845" s="276">
        <v>750</v>
      </c>
      <c r="B845" s="391" t="s">
        <v>3154</v>
      </c>
      <c r="C845" s="391" t="s">
        <v>3155</v>
      </c>
      <c r="D845" s="392" t="s">
        <v>3156</v>
      </c>
      <c r="E845" s="393" t="s">
        <v>3157</v>
      </c>
      <c r="F845" s="394" t="s">
        <v>641</v>
      </c>
      <c r="G845" s="394" t="s">
        <v>642</v>
      </c>
      <c r="H845" s="395" t="s">
        <v>1735</v>
      </c>
      <c r="I845" s="277" t="s">
        <v>3158</v>
      </c>
      <c r="J845" s="181" t="s">
        <v>1105</v>
      </c>
    </row>
    <row r="846" spans="1:10">
      <c r="A846" s="276">
        <v>751</v>
      </c>
      <c r="B846" s="391" t="s">
        <v>3159</v>
      </c>
      <c r="C846" s="391" t="s">
        <v>3160</v>
      </c>
      <c r="D846" s="392" t="s">
        <v>3161</v>
      </c>
      <c r="E846" s="393" t="s">
        <v>3162</v>
      </c>
      <c r="F846" s="394" t="s">
        <v>641</v>
      </c>
      <c r="G846" s="394" t="s">
        <v>642</v>
      </c>
      <c r="H846" s="395" t="s">
        <v>1735</v>
      </c>
      <c r="I846" s="277" t="s">
        <v>3158</v>
      </c>
      <c r="J846" s="181" t="s">
        <v>1105</v>
      </c>
    </row>
    <row r="847" spans="1:10">
      <c r="A847" s="276">
        <v>752</v>
      </c>
      <c r="B847" s="391" t="s">
        <v>2173</v>
      </c>
      <c r="C847" s="391" t="s">
        <v>3163</v>
      </c>
      <c r="D847" s="392" t="s">
        <v>3164</v>
      </c>
      <c r="E847" s="393" t="s">
        <v>3165</v>
      </c>
      <c r="F847" s="394" t="s">
        <v>641</v>
      </c>
      <c r="G847" s="394" t="s">
        <v>642</v>
      </c>
      <c r="H847" s="395" t="s">
        <v>1735</v>
      </c>
      <c r="I847" s="277" t="s">
        <v>3158</v>
      </c>
      <c r="J847" s="274" t="s">
        <v>1105</v>
      </c>
    </row>
    <row r="848" spans="1:10">
      <c r="A848" s="276">
        <v>753</v>
      </c>
      <c r="B848" s="391" t="s">
        <v>3166</v>
      </c>
      <c r="C848" s="391" t="s">
        <v>3167</v>
      </c>
      <c r="D848" s="392" t="s">
        <v>3168</v>
      </c>
      <c r="E848" s="393" t="s">
        <v>3169</v>
      </c>
      <c r="F848" s="394" t="s">
        <v>641</v>
      </c>
      <c r="G848" s="394" t="s">
        <v>642</v>
      </c>
      <c r="H848" s="395" t="s">
        <v>1735</v>
      </c>
      <c r="I848" s="277" t="s">
        <v>3158</v>
      </c>
      <c r="J848" s="274" t="s">
        <v>1157</v>
      </c>
    </row>
    <row r="849" spans="1:10">
      <c r="A849" s="276">
        <v>754</v>
      </c>
      <c r="B849" s="391" t="s">
        <v>3170</v>
      </c>
      <c r="C849" s="391" t="s">
        <v>3171</v>
      </c>
      <c r="D849" s="392" t="s">
        <v>3172</v>
      </c>
      <c r="E849" s="393" t="s">
        <v>3173</v>
      </c>
      <c r="F849" s="394" t="s">
        <v>641</v>
      </c>
      <c r="G849" s="394" t="s">
        <v>642</v>
      </c>
      <c r="H849" s="395" t="s">
        <v>1735</v>
      </c>
      <c r="I849" s="277" t="s">
        <v>3158</v>
      </c>
      <c r="J849" s="274" t="s">
        <v>1105</v>
      </c>
    </row>
    <row r="850" spans="1:10">
      <c r="A850" s="276">
        <v>755</v>
      </c>
      <c r="B850" s="391" t="s">
        <v>3174</v>
      </c>
      <c r="C850" s="391" t="s">
        <v>3175</v>
      </c>
      <c r="D850" s="392" t="s">
        <v>3176</v>
      </c>
      <c r="E850" s="393" t="s">
        <v>3177</v>
      </c>
      <c r="F850" s="394" t="s">
        <v>641</v>
      </c>
      <c r="G850" s="394" t="s">
        <v>642</v>
      </c>
      <c r="H850" s="395" t="s">
        <v>1735</v>
      </c>
      <c r="I850" s="277" t="s">
        <v>3158</v>
      </c>
      <c r="J850" s="274" t="s">
        <v>1105</v>
      </c>
    </row>
    <row r="851" spans="1:10">
      <c r="A851" s="276">
        <v>756</v>
      </c>
      <c r="B851" s="391" t="s">
        <v>3178</v>
      </c>
      <c r="C851" s="391" t="s">
        <v>3179</v>
      </c>
      <c r="D851" s="392" t="s">
        <v>3180</v>
      </c>
      <c r="E851" s="393" t="s">
        <v>3181</v>
      </c>
      <c r="F851" s="394" t="s">
        <v>641</v>
      </c>
      <c r="G851" s="394" t="s">
        <v>642</v>
      </c>
      <c r="H851" s="395" t="s">
        <v>1735</v>
      </c>
      <c r="I851" s="277" t="s">
        <v>3158</v>
      </c>
      <c r="J851" s="274" t="s">
        <v>1105</v>
      </c>
    </row>
    <row r="852" spans="1:10">
      <c r="A852" s="276">
        <v>757</v>
      </c>
      <c r="B852" s="391" t="s">
        <v>3182</v>
      </c>
      <c r="C852" s="391" t="s">
        <v>3183</v>
      </c>
      <c r="D852" s="392" t="s">
        <v>3184</v>
      </c>
      <c r="E852" s="393" t="s">
        <v>3185</v>
      </c>
      <c r="F852" s="394" t="s">
        <v>641</v>
      </c>
      <c r="G852" s="394" t="s">
        <v>642</v>
      </c>
      <c r="H852" s="395" t="s">
        <v>1735</v>
      </c>
      <c r="I852" s="277" t="s">
        <v>3158</v>
      </c>
      <c r="J852" s="274" t="s">
        <v>1105</v>
      </c>
    </row>
    <row r="853" spans="1:10">
      <c r="A853" s="276">
        <v>758</v>
      </c>
      <c r="B853" s="391" t="s">
        <v>3186</v>
      </c>
      <c r="C853" s="402" t="s">
        <v>3187</v>
      </c>
      <c r="D853" s="392" t="s">
        <v>3188</v>
      </c>
      <c r="E853" s="393" t="s">
        <v>3189</v>
      </c>
      <c r="F853" s="394" t="s">
        <v>641</v>
      </c>
      <c r="G853" s="394" t="s">
        <v>642</v>
      </c>
      <c r="H853" s="395" t="s">
        <v>1735</v>
      </c>
      <c r="I853" s="277" t="s">
        <v>3158</v>
      </c>
      <c r="J853" s="274" t="s">
        <v>1105</v>
      </c>
    </row>
    <row r="854" spans="1:10">
      <c r="A854" s="276">
        <v>759</v>
      </c>
      <c r="B854" s="391" t="s">
        <v>3190</v>
      </c>
      <c r="C854" s="402" t="s">
        <v>3191</v>
      </c>
      <c r="D854" s="392" t="s">
        <v>3192</v>
      </c>
      <c r="E854" s="283" t="s">
        <v>3193</v>
      </c>
      <c r="F854" s="394" t="s">
        <v>641</v>
      </c>
      <c r="G854" s="394" t="s">
        <v>642</v>
      </c>
      <c r="H854" s="395" t="s">
        <v>1735</v>
      </c>
      <c r="I854" s="277" t="s">
        <v>3158</v>
      </c>
      <c r="J854" s="274" t="s">
        <v>1105</v>
      </c>
    </row>
    <row r="855" spans="1:10">
      <c r="A855" s="276">
        <v>760</v>
      </c>
      <c r="B855" s="378" t="s">
        <v>1547</v>
      </c>
      <c r="C855" s="379" t="s">
        <v>2924</v>
      </c>
      <c r="D855" s="390" t="s">
        <v>3194</v>
      </c>
      <c r="E855" s="278" t="s">
        <v>3195</v>
      </c>
      <c r="F855" s="378" t="s">
        <v>755</v>
      </c>
      <c r="G855" s="378" t="s">
        <v>2453</v>
      </c>
      <c r="H855" s="381" t="s">
        <v>1735</v>
      </c>
      <c r="I855" s="277" t="s">
        <v>3158</v>
      </c>
      <c r="J855" s="181" t="s">
        <v>1105</v>
      </c>
    </row>
    <row r="856" spans="1:10">
      <c r="A856" s="276">
        <v>761</v>
      </c>
      <c r="B856" s="378" t="s">
        <v>3196</v>
      </c>
      <c r="C856" s="379" t="s">
        <v>3197</v>
      </c>
      <c r="D856" s="390" t="s">
        <v>3198</v>
      </c>
      <c r="E856" s="278" t="s">
        <v>3199</v>
      </c>
      <c r="F856" s="378" t="s">
        <v>755</v>
      </c>
      <c r="G856" s="378" t="s">
        <v>2453</v>
      </c>
      <c r="H856" s="381" t="s">
        <v>1735</v>
      </c>
      <c r="I856" s="277" t="s">
        <v>3158</v>
      </c>
      <c r="J856" s="181" t="s">
        <v>1105</v>
      </c>
    </row>
    <row r="857" spans="1:10">
      <c r="A857" s="276">
        <v>762</v>
      </c>
      <c r="B857" s="378" t="s">
        <v>3200</v>
      </c>
      <c r="C857" s="379" t="s">
        <v>3201</v>
      </c>
      <c r="D857" s="380" t="s">
        <v>3202</v>
      </c>
      <c r="E857" s="382" t="s">
        <v>3203</v>
      </c>
      <c r="F857" s="378" t="s">
        <v>755</v>
      </c>
      <c r="G857" s="378" t="s">
        <v>2453</v>
      </c>
      <c r="H857" s="381" t="s">
        <v>1735</v>
      </c>
      <c r="I857" s="277" t="s">
        <v>3158</v>
      </c>
      <c r="J857" s="181" t="s">
        <v>1105</v>
      </c>
    </row>
    <row r="858" spans="1:10">
      <c r="A858" s="276">
        <v>763</v>
      </c>
      <c r="B858" s="378" t="s">
        <v>3204</v>
      </c>
      <c r="C858" s="379" t="s">
        <v>3205</v>
      </c>
      <c r="D858" s="380" t="s">
        <v>3206</v>
      </c>
      <c r="E858" s="281">
        <v>18326062422</v>
      </c>
      <c r="F858" s="378" t="s">
        <v>755</v>
      </c>
      <c r="G858" s="378" t="s">
        <v>2453</v>
      </c>
      <c r="H858" s="381" t="s">
        <v>1735</v>
      </c>
      <c r="I858" s="277" t="s">
        <v>3158</v>
      </c>
      <c r="J858" s="181" t="s">
        <v>1157</v>
      </c>
    </row>
    <row r="859" spans="1:10">
      <c r="A859" s="276">
        <v>764</v>
      </c>
      <c r="B859" s="378" t="s">
        <v>3207</v>
      </c>
      <c r="C859" s="379" t="s">
        <v>3208</v>
      </c>
      <c r="D859" s="380" t="s">
        <v>3209</v>
      </c>
      <c r="E859" s="382" t="s">
        <v>3210</v>
      </c>
      <c r="F859" s="378" t="s">
        <v>755</v>
      </c>
      <c r="G859" s="378" t="s">
        <v>2453</v>
      </c>
      <c r="H859" s="381" t="s">
        <v>1735</v>
      </c>
      <c r="I859" s="275" t="s">
        <v>3211</v>
      </c>
      <c r="J859" s="181" t="s">
        <v>1105</v>
      </c>
    </row>
    <row r="860" spans="1:10">
      <c r="A860" s="276">
        <v>765</v>
      </c>
      <c r="B860" s="378" t="s">
        <v>3212</v>
      </c>
      <c r="C860" s="379" t="s">
        <v>3213</v>
      </c>
      <c r="D860" s="380" t="s">
        <v>3214</v>
      </c>
      <c r="E860" s="278" t="s">
        <v>3215</v>
      </c>
      <c r="F860" s="378" t="s">
        <v>755</v>
      </c>
      <c r="G860" s="378" t="s">
        <v>2453</v>
      </c>
      <c r="H860" s="381" t="s">
        <v>1735</v>
      </c>
      <c r="I860" s="275" t="s">
        <v>3211</v>
      </c>
      <c r="J860" s="181" t="s">
        <v>1105</v>
      </c>
    </row>
    <row r="861" spans="1:10">
      <c r="A861" s="276">
        <v>766</v>
      </c>
      <c r="B861" s="378" t="s">
        <v>3216</v>
      </c>
      <c r="C861" s="379" t="s">
        <v>3217</v>
      </c>
      <c r="D861" s="380" t="s">
        <v>3218</v>
      </c>
      <c r="E861" s="382" t="s">
        <v>3219</v>
      </c>
      <c r="F861" s="378" t="s">
        <v>755</v>
      </c>
      <c r="G861" s="378" t="s">
        <v>2453</v>
      </c>
      <c r="H861" s="381" t="s">
        <v>1735</v>
      </c>
      <c r="I861" s="275" t="s">
        <v>3211</v>
      </c>
      <c r="J861" s="181" t="s">
        <v>1105</v>
      </c>
    </row>
    <row r="862" spans="1:10">
      <c r="A862" s="181"/>
      <c r="B862" s="181"/>
      <c r="C862" s="181"/>
      <c r="D862" s="181"/>
      <c r="E862" s="181"/>
      <c r="F862" s="181"/>
      <c r="G862" s="181"/>
      <c r="I862" s="275"/>
      <c r="J862" s="181"/>
    </row>
    <row r="863" spans="1:10" ht="15.5">
      <c r="A863" s="276">
        <v>767</v>
      </c>
      <c r="B863" s="403" t="s">
        <v>3220</v>
      </c>
      <c r="C863" s="404" t="s">
        <v>3221</v>
      </c>
      <c r="D863" s="405" t="s">
        <v>3222</v>
      </c>
      <c r="E863" s="406" t="s">
        <v>3223</v>
      </c>
      <c r="F863" s="407" t="s">
        <v>3224</v>
      </c>
      <c r="G863" s="403" t="s">
        <v>3225</v>
      </c>
      <c r="H863" s="408" t="s">
        <v>1844</v>
      </c>
      <c r="I863" s="277" t="s">
        <v>3226</v>
      </c>
      <c r="J863" s="181"/>
    </row>
    <row r="864" spans="1:10" ht="15.5">
      <c r="A864" s="276">
        <v>768</v>
      </c>
      <c r="B864" s="403" t="s">
        <v>3227</v>
      </c>
      <c r="C864" s="404" t="s">
        <v>3228</v>
      </c>
      <c r="D864" s="405" t="s">
        <v>3229</v>
      </c>
      <c r="E864" s="284" t="s">
        <v>3230</v>
      </c>
      <c r="F864" s="407" t="s">
        <v>3224</v>
      </c>
      <c r="G864" s="403" t="s">
        <v>3225</v>
      </c>
      <c r="H864" s="408" t="s">
        <v>1844</v>
      </c>
      <c r="I864" s="277" t="s">
        <v>3226</v>
      </c>
      <c r="J864" s="181"/>
    </row>
    <row r="865" spans="1:9" ht="15.5">
      <c r="A865" s="276">
        <v>769</v>
      </c>
      <c r="B865" s="403" t="s">
        <v>3231</v>
      </c>
      <c r="C865" s="404" t="s">
        <v>3232</v>
      </c>
      <c r="D865" s="405" t="s">
        <v>3233</v>
      </c>
      <c r="E865" s="406" t="s">
        <v>3234</v>
      </c>
      <c r="F865" s="407" t="s">
        <v>917</v>
      </c>
      <c r="G865" s="403" t="s">
        <v>3225</v>
      </c>
      <c r="H865" s="408" t="s">
        <v>1844</v>
      </c>
      <c r="I865" s="277" t="s">
        <v>3226</v>
      </c>
    </row>
    <row r="866" spans="1:9" ht="15.5">
      <c r="A866" s="276">
        <v>770</v>
      </c>
      <c r="B866" s="403" t="s">
        <v>914</v>
      </c>
      <c r="C866" s="404" t="s">
        <v>3235</v>
      </c>
      <c r="D866" s="405" t="s">
        <v>3236</v>
      </c>
      <c r="E866" s="284" t="s">
        <v>3237</v>
      </c>
      <c r="F866" s="407" t="s">
        <v>3224</v>
      </c>
      <c r="G866" s="403" t="s">
        <v>3225</v>
      </c>
      <c r="H866" s="408" t="s">
        <v>1844</v>
      </c>
      <c r="I866" s="277" t="s">
        <v>3226</v>
      </c>
    </row>
    <row r="867" spans="1:9" ht="15.5">
      <c r="A867" s="276">
        <v>771</v>
      </c>
      <c r="B867" s="403" t="s">
        <v>3238</v>
      </c>
      <c r="C867" s="404" t="s">
        <v>3239</v>
      </c>
      <c r="D867" s="405" t="s">
        <v>3240</v>
      </c>
      <c r="E867" s="406" t="s">
        <v>3241</v>
      </c>
      <c r="F867" s="407" t="s">
        <v>3224</v>
      </c>
      <c r="G867" s="403" t="s">
        <v>3225</v>
      </c>
      <c r="H867" s="408" t="s">
        <v>1844</v>
      </c>
      <c r="I867" s="277" t="s">
        <v>3226</v>
      </c>
    </row>
    <row r="868" spans="1:9" ht="15.5">
      <c r="A868" s="276">
        <v>772</v>
      </c>
      <c r="B868" s="403" t="s">
        <v>3242</v>
      </c>
      <c r="C868" s="404" t="s">
        <v>3243</v>
      </c>
      <c r="D868" s="405" t="s">
        <v>3244</v>
      </c>
      <c r="E868" s="284" t="s">
        <v>3245</v>
      </c>
      <c r="F868" s="407" t="s">
        <v>3224</v>
      </c>
      <c r="G868" s="403" t="s">
        <v>3225</v>
      </c>
      <c r="H868" s="408" t="s">
        <v>1844</v>
      </c>
      <c r="I868" s="277" t="s">
        <v>3226</v>
      </c>
    </row>
    <row r="869" spans="1:9" ht="15.5">
      <c r="A869" s="276">
        <v>773</v>
      </c>
      <c r="B869" s="403" t="s">
        <v>3246</v>
      </c>
      <c r="C869" s="404" t="s">
        <v>3247</v>
      </c>
      <c r="D869" s="405" t="s">
        <v>3248</v>
      </c>
      <c r="E869" s="406" t="s">
        <v>3249</v>
      </c>
      <c r="F869" s="407" t="s">
        <v>3224</v>
      </c>
      <c r="G869" s="403" t="s">
        <v>3225</v>
      </c>
      <c r="H869" s="408" t="s">
        <v>1844</v>
      </c>
      <c r="I869" s="277" t="s">
        <v>3226</v>
      </c>
    </row>
    <row r="870" spans="1:9" ht="15.5">
      <c r="A870" s="276">
        <v>774</v>
      </c>
      <c r="B870" s="403" t="s">
        <v>3250</v>
      </c>
      <c r="C870" s="404" t="s">
        <v>3251</v>
      </c>
      <c r="D870" s="405" t="s">
        <v>3252</v>
      </c>
      <c r="E870" s="284" t="s">
        <v>3253</v>
      </c>
      <c r="F870" s="407" t="s">
        <v>3224</v>
      </c>
      <c r="G870" s="403" t="s">
        <v>3225</v>
      </c>
      <c r="H870" s="408" t="s">
        <v>1844</v>
      </c>
      <c r="I870" s="277" t="s">
        <v>3226</v>
      </c>
    </row>
    <row r="871" spans="1:9" ht="15.5">
      <c r="A871" s="276">
        <v>775</v>
      </c>
      <c r="B871" s="409" t="s">
        <v>3254</v>
      </c>
      <c r="C871" s="404" t="s">
        <v>3255</v>
      </c>
      <c r="D871" s="405" t="s">
        <v>3256</v>
      </c>
      <c r="E871" s="406" t="s">
        <v>3257</v>
      </c>
      <c r="F871" s="407" t="s">
        <v>1819</v>
      </c>
      <c r="G871" s="407" t="s">
        <v>1932</v>
      </c>
      <c r="H871" s="408" t="s">
        <v>1844</v>
      </c>
      <c r="I871" s="277" t="s">
        <v>3226</v>
      </c>
    </row>
    <row r="872" spans="1:9" ht="15.5">
      <c r="A872" s="276">
        <v>776</v>
      </c>
      <c r="B872" s="409" t="s">
        <v>3258</v>
      </c>
      <c r="C872" s="404" t="s">
        <v>3259</v>
      </c>
      <c r="D872" s="405" t="s">
        <v>3260</v>
      </c>
      <c r="E872" s="406" t="s">
        <v>3261</v>
      </c>
      <c r="F872" s="403" t="s">
        <v>3262</v>
      </c>
      <c r="G872" s="403" t="s">
        <v>3263</v>
      </c>
      <c r="H872" s="408" t="s">
        <v>3264</v>
      </c>
      <c r="I872" s="277" t="s">
        <v>3226</v>
      </c>
    </row>
    <row r="873" spans="1:9" ht="15.5">
      <c r="A873" s="276">
        <v>777</v>
      </c>
      <c r="B873" s="409" t="s">
        <v>3265</v>
      </c>
      <c r="C873" s="404" t="s">
        <v>3266</v>
      </c>
      <c r="D873" s="405" t="s">
        <v>3267</v>
      </c>
      <c r="E873" s="284" t="s">
        <v>3268</v>
      </c>
      <c r="F873" s="403" t="s">
        <v>3262</v>
      </c>
      <c r="G873" s="403" t="s">
        <v>3263</v>
      </c>
      <c r="H873" s="408" t="s">
        <v>1844</v>
      </c>
      <c r="I873" s="277" t="s">
        <v>3226</v>
      </c>
    </row>
    <row r="874" spans="1:9" ht="15.5">
      <c r="A874" s="276">
        <v>778</v>
      </c>
      <c r="B874" s="409" t="s">
        <v>3269</v>
      </c>
      <c r="C874" s="404" t="s">
        <v>3270</v>
      </c>
      <c r="D874" s="405" t="s">
        <v>3271</v>
      </c>
      <c r="E874" s="406" t="s">
        <v>3272</v>
      </c>
      <c r="F874" s="403" t="s">
        <v>3262</v>
      </c>
      <c r="G874" s="403" t="s">
        <v>3263</v>
      </c>
      <c r="H874" s="408" t="s">
        <v>1844</v>
      </c>
      <c r="I874" s="277" t="s">
        <v>3226</v>
      </c>
    </row>
    <row r="875" spans="1:9">
      <c r="A875" s="276">
        <v>779</v>
      </c>
      <c r="B875" s="410" t="s">
        <v>3273</v>
      </c>
      <c r="C875" s="411" t="s">
        <v>3274</v>
      </c>
      <c r="D875" s="412" t="s">
        <v>3275</v>
      </c>
      <c r="E875" s="413">
        <v>18843166267</v>
      </c>
      <c r="F875" s="414" t="s">
        <v>387</v>
      </c>
      <c r="G875" s="414" t="s">
        <v>1018</v>
      </c>
      <c r="H875" s="415" t="s">
        <v>1844</v>
      </c>
      <c r="I875" s="277" t="s">
        <v>3226</v>
      </c>
    </row>
    <row r="876" spans="1:9">
      <c r="A876" s="276">
        <v>780</v>
      </c>
      <c r="B876" s="410" t="s">
        <v>3276</v>
      </c>
      <c r="C876" s="411" t="s">
        <v>3277</v>
      </c>
      <c r="D876" s="412" t="s">
        <v>3278</v>
      </c>
      <c r="E876" s="413">
        <v>19843946712</v>
      </c>
      <c r="F876" s="414" t="s">
        <v>387</v>
      </c>
      <c r="G876" s="414" t="s">
        <v>1018</v>
      </c>
      <c r="H876" s="415" t="s">
        <v>1844</v>
      </c>
      <c r="I876" s="277" t="s">
        <v>3226</v>
      </c>
    </row>
    <row r="877" spans="1:9">
      <c r="A877" s="276">
        <v>781</v>
      </c>
      <c r="B877" s="410" t="s">
        <v>3279</v>
      </c>
      <c r="C877" s="411" t="s">
        <v>3280</v>
      </c>
      <c r="D877" s="412" t="s">
        <v>3281</v>
      </c>
      <c r="E877" s="413">
        <v>18552586963</v>
      </c>
      <c r="F877" s="414" t="s">
        <v>387</v>
      </c>
      <c r="G877" s="414" t="s">
        <v>1018</v>
      </c>
      <c r="H877" s="415" t="s">
        <v>1844</v>
      </c>
      <c r="I877" s="275" t="s">
        <v>3282</v>
      </c>
    </row>
    <row r="878" spans="1:9">
      <c r="A878" s="276">
        <v>782</v>
      </c>
      <c r="B878" s="410" t="s">
        <v>3283</v>
      </c>
      <c r="C878" s="411" t="s">
        <v>3284</v>
      </c>
      <c r="D878" s="412" t="s">
        <v>3285</v>
      </c>
      <c r="E878" s="413">
        <v>13298820828</v>
      </c>
      <c r="F878" s="414" t="s">
        <v>387</v>
      </c>
      <c r="G878" s="414" t="s">
        <v>1018</v>
      </c>
      <c r="H878" s="415" t="s">
        <v>1844</v>
      </c>
      <c r="I878" s="275" t="s">
        <v>3282</v>
      </c>
    </row>
    <row r="879" spans="1:9">
      <c r="A879" s="276">
        <v>783</v>
      </c>
      <c r="B879" s="410" t="s">
        <v>3286</v>
      </c>
      <c r="C879" s="411" t="s">
        <v>3287</v>
      </c>
      <c r="D879" s="412" t="s">
        <v>3288</v>
      </c>
      <c r="E879" s="413">
        <v>13179797336</v>
      </c>
      <c r="F879" s="414" t="s">
        <v>387</v>
      </c>
      <c r="G879" s="414" t="s">
        <v>1018</v>
      </c>
      <c r="H879" s="415" t="s">
        <v>1844</v>
      </c>
      <c r="I879" s="275" t="s">
        <v>3282</v>
      </c>
    </row>
    <row r="880" spans="1:9">
      <c r="A880" s="276">
        <v>784</v>
      </c>
      <c r="B880" s="410" t="s">
        <v>3289</v>
      </c>
      <c r="C880" s="411" t="s">
        <v>3290</v>
      </c>
      <c r="D880" s="412" t="s">
        <v>3291</v>
      </c>
      <c r="E880" s="413">
        <v>17267312161</v>
      </c>
      <c r="F880" s="414" t="s">
        <v>387</v>
      </c>
      <c r="G880" s="414" t="s">
        <v>1018</v>
      </c>
      <c r="H880" s="415" t="s">
        <v>1844</v>
      </c>
      <c r="I880" s="275" t="s">
        <v>3282</v>
      </c>
    </row>
    <row r="881" spans="1:9">
      <c r="A881" s="276">
        <v>785</v>
      </c>
      <c r="B881" s="416" t="s">
        <v>3292</v>
      </c>
      <c r="C881" s="411" t="s">
        <v>3293</v>
      </c>
      <c r="D881" s="412" t="s">
        <v>3294</v>
      </c>
      <c r="E881" s="413" t="s">
        <v>3295</v>
      </c>
      <c r="F881" s="414" t="s">
        <v>387</v>
      </c>
      <c r="G881" s="414" t="s">
        <v>1018</v>
      </c>
      <c r="H881" s="415" t="s">
        <v>1844</v>
      </c>
      <c r="I881" s="275" t="s">
        <v>3282</v>
      </c>
    </row>
    <row r="882" spans="1:9">
      <c r="A882" s="276">
        <v>786</v>
      </c>
      <c r="B882" s="416" t="s">
        <v>3296</v>
      </c>
      <c r="C882" s="411" t="s">
        <v>3297</v>
      </c>
      <c r="D882" s="417" t="s">
        <v>3298</v>
      </c>
      <c r="E882" s="413" t="s">
        <v>3299</v>
      </c>
      <c r="F882" s="414" t="s">
        <v>387</v>
      </c>
      <c r="G882" s="414" t="s">
        <v>1018</v>
      </c>
      <c r="H882" s="415" t="s">
        <v>1844</v>
      </c>
      <c r="I882" s="275" t="s">
        <v>3282</v>
      </c>
    </row>
    <row r="883" spans="1:9">
      <c r="A883" s="276">
        <v>787</v>
      </c>
      <c r="B883" s="418" t="s">
        <v>3300</v>
      </c>
      <c r="C883" s="419" t="s">
        <v>3301</v>
      </c>
      <c r="D883" s="420" t="s">
        <v>3302</v>
      </c>
      <c r="E883" s="421" t="s">
        <v>3303</v>
      </c>
      <c r="F883" s="418" t="s">
        <v>3304</v>
      </c>
      <c r="G883" s="418" t="s">
        <v>3305</v>
      </c>
      <c r="H883" s="422" t="s">
        <v>1844</v>
      </c>
      <c r="I883" s="275" t="s">
        <v>3282</v>
      </c>
    </row>
  </sheetData>
  <mergeCells count="3">
    <mergeCell ref="A1:N1"/>
    <mergeCell ref="K583:K595"/>
    <mergeCell ref="J793:J796"/>
  </mergeCells>
  <phoneticPr fontId="69" type="noConversion"/>
  <conditionalFormatting sqref="D56:D59 D3:D49">
    <cfRule type="duplicateValues" dxfId="102" priority="173"/>
  </conditionalFormatting>
  <conditionalFormatting sqref="J429:J455 J3:J244 J266:J274 J308:J370 K454 J458:J703 J707 J714:J715 J722 J741 J724:J726 J797:J800 J763:J793 K773 J802:J2118">
    <cfRule type="containsText" dxfId="101" priority="156" operator="containsText" text="Failed">
      <formula>NOT(ISERROR(SEARCH("Failed",J3)))</formula>
    </cfRule>
    <cfRule type="containsText" dxfId="100" priority="158" operator="containsText" text="Pass">
      <formula>NOT(ISERROR(SEARCH("Pass",J3)))</formula>
    </cfRule>
  </conditionalFormatting>
  <conditionalFormatting sqref="J371:J428">
    <cfRule type="containsText" dxfId="99" priority="147" operator="containsText" text="Failed">
      <formula>NOT(ISERROR(SEARCH("Failed",J371)))</formula>
    </cfRule>
    <cfRule type="containsText" dxfId="98" priority="148" operator="containsText" text="Pass">
      <formula>NOT(ISERROR(SEARCH("Pass",J371)))</formula>
    </cfRule>
  </conditionalFormatting>
  <conditionalFormatting sqref="J245:J254">
    <cfRule type="containsText" dxfId="97" priority="145" operator="containsText" text="Failed">
      <formula>NOT(ISERROR(SEARCH("Failed",J245)))</formula>
    </cfRule>
    <cfRule type="containsText" dxfId="96" priority="146" operator="containsText" text="Pass">
      <formula>NOT(ISERROR(SEARCH("Pass",J245)))</formula>
    </cfRule>
  </conditionalFormatting>
  <conditionalFormatting sqref="J255:J265">
    <cfRule type="containsText" dxfId="95" priority="143" operator="containsText" text="Failed">
      <formula>NOT(ISERROR(SEARCH("Failed",J255)))</formula>
    </cfRule>
    <cfRule type="containsText" dxfId="94" priority="144" operator="containsText" text="Pass">
      <formula>NOT(ISERROR(SEARCH("Pass",J255)))</formula>
    </cfRule>
  </conditionalFormatting>
  <conditionalFormatting sqref="J275:J285">
    <cfRule type="containsText" dxfId="93" priority="139" operator="containsText" text="Failed">
      <formula>NOT(ISERROR(SEARCH("Failed",J275)))</formula>
    </cfRule>
    <cfRule type="containsText" dxfId="92" priority="140" operator="containsText" text="Pass">
      <formula>NOT(ISERROR(SEARCH("Pass",J275)))</formula>
    </cfRule>
  </conditionalFormatting>
  <conditionalFormatting sqref="J286:J295">
    <cfRule type="containsText" dxfId="91" priority="137" operator="containsText" text="Failed">
      <formula>NOT(ISERROR(SEARCH("Failed",J286)))</formula>
    </cfRule>
    <cfRule type="containsText" dxfId="90" priority="138" operator="containsText" text="Pass">
      <formula>NOT(ISERROR(SEARCH("Pass",J286)))</formula>
    </cfRule>
  </conditionalFormatting>
  <conditionalFormatting sqref="J296:J306">
    <cfRule type="containsText" dxfId="89" priority="135" operator="containsText" text="Failed">
      <formula>NOT(ISERROR(SEARCH("Failed",J296)))</formula>
    </cfRule>
    <cfRule type="containsText" dxfId="88" priority="136" operator="containsText" text="Pass">
      <formula>NOT(ISERROR(SEARCH("Pass",J296)))</formula>
    </cfRule>
  </conditionalFormatting>
  <conditionalFormatting sqref="J307">
    <cfRule type="containsText" dxfId="87" priority="133" operator="containsText" text="Failed">
      <formula>NOT(ISERROR(SEARCH("Failed",J307)))</formula>
    </cfRule>
    <cfRule type="containsText" dxfId="86" priority="134" operator="containsText" text="Pass">
      <formula>NOT(ISERROR(SEARCH("Pass",J307)))</formula>
    </cfRule>
  </conditionalFormatting>
  <conditionalFormatting sqref="J456:J457">
    <cfRule type="containsText" dxfId="85" priority="111" operator="containsText" text="Failed">
      <formula>NOT(ISERROR(SEARCH("Failed",J456)))</formula>
    </cfRule>
    <cfRule type="containsText" dxfId="84" priority="112" operator="containsText" text="Pass">
      <formula>NOT(ISERROR(SEARCH("Pass",J456)))</formula>
    </cfRule>
  </conditionalFormatting>
  <conditionalFormatting sqref="B542:B555">
    <cfRule type="duplicateValues" dxfId="83" priority="107"/>
    <cfRule type="duplicateValues" dxfId="82" priority="108"/>
  </conditionalFormatting>
  <conditionalFormatting sqref="B561 B563:B567">
    <cfRule type="duplicateValues" dxfId="81" priority="105"/>
    <cfRule type="duplicateValues" dxfId="80" priority="106"/>
  </conditionalFormatting>
  <conditionalFormatting sqref="B560">
    <cfRule type="duplicateValues" dxfId="79" priority="103"/>
    <cfRule type="duplicateValues" dxfId="78" priority="104"/>
  </conditionalFormatting>
  <conditionalFormatting sqref="B562">
    <cfRule type="duplicateValues" dxfId="77" priority="101"/>
    <cfRule type="duplicateValues" dxfId="76" priority="102"/>
  </conditionalFormatting>
  <conditionalFormatting sqref="B568">
    <cfRule type="duplicateValues" dxfId="75" priority="99"/>
    <cfRule type="duplicateValues" dxfId="74" priority="100"/>
  </conditionalFormatting>
  <conditionalFormatting sqref="B569">
    <cfRule type="duplicateValues" dxfId="73" priority="97"/>
    <cfRule type="duplicateValues" dxfId="72" priority="98"/>
  </conditionalFormatting>
  <conditionalFormatting sqref="B559">
    <cfRule type="duplicateValues" dxfId="71" priority="95"/>
    <cfRule type="duplicateValues" dxfId="70" priority="96"/>
  </conditionalFormatting>
  <conditionalFormatting sqref="J704:J706">
    <cfRule type="containsText" dxfId="69" priority="93" operator="containsText" text="Failed">
      <formula>NOT(ISERROR(SEARCH("Failed",J704)))</formula>
    </cfRule>
    <cfRule type="containsText" dxfId="68" priority="94" operator="containsText" text="Pass">
      <formula>NOT(ISERROR(SEARCH("Pass",J704)))</formula>
    </cfRule>
  </conditionalFormatting>
  <conditionalFormatting sqref="J708:J713">
    <cfRule type="containsText" dxfId="67" priority="91" operator="containsText" text="Failed">
      <formula>NOT(ISERROR(SEARCH("Failed",J708)))</formula>
    </cfRule>
    <cfRule type="containsText" dxfId="66" priority="92" operator="containsText" text="Pass">
      <formula>NOT(ISERROR(SEARCH("Pass",J708)))</formula>
    </cfRule>
  </conditionalFormatting>
  <conditionalFormatting sqref="J716:J721">
    <cfRule type="containsText" dxfId="65" priority="89" operator="containsText" text="Failed">
      <formula>NOT(ISERROR(SEARCH("Failed",J716)))</formula>
    </cfRule>
    <cfRule type="containsText" dxfId="64" priority="90" operator="containsText" text="Pass">
      <formula>NOT(ISERROR(SEARCH("Pass",J716)))</formula>
    </cfRule>
  </conditionalFormatting>
  <conditionalFormatting sqref="J727:J740">
    <cfRule type="containsText" dxfId="63" priority="87" operator="containsText" text="Failed">
      <formula>NOT(ISERROR(SEARCH("Failed",J727)))</formula>
    </cfRule>
    <cfRule type="containsText" dxfId="62" priority="88" operator="containsText" text="Pass">
      <formula>NOT(ISERROR(SEARCH("Pass",J727)))</formula>
    </cfRule>
  </conditionalFormatting>
  <conditionalFormatting sqref="J723">
    <cfRule type="containsText" dxfId="61" priority="85" operator="containsText" text="Failed">
      <formula>NOT(ISERROR(SEARCH("Failed",J723)))</formula>
    </cfRule>
    <cfRule type="containsText" dxfId="60" priority="86" operator="containsText" text="Pass">
      <formula>NOT(ISERROR(SEARCH("Pass",J723)))</formula>
    </cfRule>
  </conditionalFormatting>
  <conditionalFormatting sqref="J742:J761">
    <cfRule type="containsText" dxfId="59" priority="83" operator="containsText" text="Failed">
      <formula>NOT(ISERROR(SEARCH("Failed",J742)))</formula>
    </cfRule>
    <cfRule type="containsText" dxfId="58" priority="84" operator="containsText" text="Pass">
      <formula>NOT(ISERROR(SEARCH("Pass",J742)))</formula>
    </cfRule>
  </conditionalFormatting>
  <conditionalFormatting sqref="B845:B846 B810 B812:B814">
    <cfRule type="duplicateValues" dxfId="57" priority="45"/>
    <cfRule type="duplicateValues" dxfId="56" priority="46"/>
  </conditionalFormatting>
  <conditionalFormatting sqref="B823:B826">
    <cfRule type="duplicateValues" dxfId="55" priority="43"/>
    <cfRule type="duplicateValues" dxfId="54" priority="44"/>
  </conditionalFormatting>
  <conditionalFormatting sqref="B827:B828">
    <cfRule type="duplicateValues" dxfId="53" priority="41"/>
    <cfRule type="duplicateValues" dxfId="52" priority="42"/>
  </conditionalFormatting>
  <conditionalFormatting sqref="B830:B831">
    <cfRule type="duplicateValues" dxfId="51" priority="39"/>
    <cfRule type="duplicateValues" dxfId="50" priority="40"/>
  </conditionalFormatting>
  <conditionalFormatting sqref="B857:B861 B819:B821">
    <cfRule type="duplicateValues" dxfId="49" priority="37"/>
    <cfRule type="duplicateValues" dxfId="48" priority="38"/>
  </conditionalFormatting>
  <conditionalFormatting sqref="B811">
    <cfRule type="duplicateValues" dxfId="47" priority="35"/>
    <cfRule type="duplicateValues" dxfId="46" priority="36"/>
  </conditionalFormatting>
  <conditionalFormatting sqref="B815:B817">
    <cfRule type="duplicateValues" dxfId="45" priority="33"/>
    <cfRule type="duplicateValues" dxfId="44" priority="34"/>
  </conditionalFormatting>
  <conditionalFormatting sqref="B832">
    <cfRule type="duplicateValues" dxfId="43" priority="29"/>
    <cfRule type="duplicateValues" dxfId="42" priority="30"/>
  </conditionalFormatting>
  <conditionalFormatting sqref="B833:B844">
    <cfRule type="duplicateValues" dxfId="41" priority="27"/>
    <cfRule type="duplicateValues" dxfId="40" priority="28"/>
  </conditionalFormatting>
  <conditionalFormatting sqref="B847">
    <cfRule type="duplicateValues" dxfId="39" priority="25"/>
    <cfRule type="duplicateValues" dxfId="38" priority="26"/>
  </conditionalFormatting>
  <conditionalFormatting sqref="B809">
    <cfRule type="duplicateValues" dxfId="37" priority="47"/>
    <cfRule type="duplicateValues" dxfId="36" priority="48"/>
  </conditionalFormatting>
  <conditionalFormatting sqref="B808">
    <cfRule type="duplicateValues" dxfId="35" priority="23"/>
    <cfRule type="duplicateValues" dxfId="34" priority="24"/>
  </conditionalFormatting>
  <conditionalFormatting sqref="B829">
    <cfRule type="duplicateValues" dxfId="33" priority="21"/>
    <cfRule type="duplicateValues" dxfId="32" priority="22"/>
  </conditionalFormatting>
  <conditionalFormatting sqref="B804:B807">
    <cfRule type="duplicateValues" dxfId="31" priority="19"/>
    <cfRule type="duplicateValues" dxfId="30" priority="20"/>
  </conditionalFormatting>
  <conditionalFormatting sqref="B850">
    <cfRule type="duplicateValues" dxfId="29" priority="17"/>
    <cfRule type="duplicateValues" dxfId="28" priority="18"/>
  </conditionalFormatting>
  <conditionalFormatting sqref="B803">
    <cfRule type="duplicateValues" dxfId="27" priority="15"/>
    <cfRule type="duplicateValues" dxfId="26" priority="16"/>
  </conditionalFormatting>
  <conditionalFormatting sqref="B822 B818">
    <cfRule type="duplicateValues" dxfId="25" priority="184"/>
    <cfRule type="duplicateValues" dxfId="24" priority="185"/>
  </conditionalFormatting>
  <conditionalFormatting sqref="B879:B882">
    <cfRule type="duplicateValues" dxfId="23" priority="13"/>
    <cfRule type="duplicateValues" dxfId="22" priority="14"/>
  </conditionalFormatting>
  <conditionalFormatting sqref="B883">
    <cfRule type="duplicateValues" dxfId="21" priority="11"/>
    <cfRule type="duplicateValues" dxfId="20" priority="12"/>
  </conditionalFormatting>
  <conditionalFormatting sqref="B875:B876">
    <cfRule type="duplicateValues" dxfId="19" priority="9"/>
    <cfRule type="duplicateValues" dxfId="18" priority="10"/>
  </conditionalFormatting>
  <conditionalFormatting sqref="B877:B878">
    <cfRule type="duplicateValues" dxfId="17" priority="7"/>
    <cfRule type="duplicateValues" dxfId="16" priority="8"/>
  </conditionalFormatting>
  <conditionalFormatting sqref="B863:B870">
    <cfRule type="duplicateValues" dxfId="15" priority="5"/>
    <cfRule type="duplicateValues" dxfId="14" priority="6"/>
  </conditionalFormatting>
  <conditionalFormatting sqref="B871">
    <cfRule type="duplicateValues" dxfId="13" priority="3"/>
    <cfRule type="duplicateValues" dxfId="12" priority="4"/>
  </conditionalFormatting>
  <conditionalFormatting sqref="B872:B874">
    <cfRule type="duplicateValues" dxfId="11" priority="1"/>
    <cfRule type="duplicateValues" dxfId="10" priority="2"/>
  </conditionalFormatting>
  <dataValidations count="1">
    <dataValidation type="list" allowBlank="1" showInputMessage="1" showErrorMessage="1" sqref="H556:H558 H875 H561 H563:H567 H808:H809 H811:H816 H844:H846" xr:uid="{00000000-0002-0000-0000-000000000000}">
      <formula1>#REF!</formula1>
    </dataValidation>
  </dataValidations>
  <pageMargins left="0.7" right="0.7" top="0.75" bottom="0.75" header="0.3" footer="0.3"/>
  <pageSetup paperSize="9" scale="24" orientation="landscape" horizontalDpi="1200" verticalDpi="1200" r:id="rId1"/>
  <headerFooter>
    <oddHeader>&amp;L&amp;"Calibri"&amp;10&amp;K000000 INTERNAL&amp;1#_x000D_</oddHeader>
  </headerFooter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000-000002000000}">
          <x14:formula1>
            <xm:f>Sheet1!$A$6:$A$7</xm:f>
          </x14:formula1>
          <xm:sqref>J3:J10</xm:sqref>
        </x14:dataValidation>
        <x14:dataValidation type="list" allowBlank="1" showInputMessage="1" showErrorMessage="1" xr:uid="{00000000-0002-0000-0000-000003000000}">
          <x14:formula1>
            <xm:f>Sheet1!$A$1:$A$4</xm:f>
          </x14:formula1>
          <xm:sqref>H3:H133</xm:sqref>
        </x14:dataValidation>
        <x14:dataValidation type="list" allowBlank="1" showInputMessage="1" showErrorMessage="1" xr:uid="{00000000-0002-0000-0000-000004000000}">
          <x14:formula1>
            <xm:f>'C:\Users\JVC20210199\AppData\Local\Microsoft\Windows\INetCache\Content.Outlook\94XF8ML9\[Info-collection.xlsx]Sheet1'!#REF!</xm:f>
          </x14:formula1>
          <xm:sqref>H184</xm:sqref>
        </x14:dataValidation>
        <x14:dataValidation type="list" allowBlank="1" showInputMessage="1" showErrorMessage="1" xr:uid="{00000000-0002-0000-0000-000005000000}">
          <x14:formula1>
            <xm:f>'C:\Users\JVC20210093\AppData\Local\Microsoft\Windows\INetCache\Content.Outlook\A3RN0VUM\[Info-collection (002).xlsx]Sheet1'!#REF!</xm:f>
          </x14:formula1>
          <xm:sqref>H182:H183 H206:H214</xm:sqref>
        </x14:dataValidation>
        <x14:dataValidation type="list" allowBlank="1" showInputMessage="1" showErrorMessage="1" xr:uid="{00000000-0002-0000-0000-000006000000}">
          <x14:formula1>
            <xm:f>'Z:\03_Registration\202202\组装\[Info-collection-VASS_20220111.xlsx]Sheet1'!#REF!</xm:f>
          </x14:formula1>
          <xm:sqref>H180:H181</xm:sqref>
        </x14:dataValidation>
        <x14:dataValidation type="list" allowBlank="1" showInputMessage="1" showErrorMessage="1" xr:uid="{00000000-0002-0000-0000-000007000000}">
          <x14:formula1>
            <xm:f>'Z:\03_Registration\202202\车身输送\上海九源晟自动化有限公司\[Info-collection_JYS.xlsx]Sheet1'!#REF!</xm:f>
          </x14:formula1>
          <xm:sqref>H216:H220</xm:sqref>
        </x14:dataValidation>
        <x14:dataValidation type="list" allowBlank="1" showInputMessage="1" showErrorMessage="1" xr:uid="{00000000-0002-0000-0000-000008000000}">
          <x14:formula1>
            <xm:f>'Z:\03_Registration\202202\车身输送\不莱梅贝克（上海）工业自动化技术有限公司\[Info-collection_不莱梅贝克.xlsx]Sheet1'!#REF!</xm:f>
          </x14:formula1>
          <xm:sqref>H221:H224</xm:sqref>
        </x14:dataValidation>
        <x14:dataValidation type="list" allowBlank="1" showInputMessage="1" showErrorMessage="1" xr:uid="{00000000-0002-0000-0000-000009000000}">
          <x14:formula1>
            <xm:f>'Z:\03_Registration\202202\Sinylon\[Info-collection SYL.xlsx]Sheet1'!#REF!</xm:f>
          </x14:formula1>
          <xm:sqref>H225:H232</xm:sqref>
        </x14:dataValidation>
        <x14:dataValidation type="list" allowBlank="1" showInputMessage="1" showErrorMessage="1" xr:uid="{00000000-0002-0000-0000-00000A000000}">
          <x14:formula1>
            <xm:f>'\\10.120.19.16\VASS-Certificate\03_Registration\202310\上海捷慧自动化设备有限公司\[Info Collection_上海捷慧.xlsx]Sheet3'!#REF!</xm:f>
          </x14:formula1>
          <xm:sqref>H570:H577</xm:sqref>
        </x14:dataValidation>
        <x14:dataValidation type="list" allowBlank="1" showInputMessage="1" showErrorMessage="1" xr:uid="{00000000-0002-0000-0000-00000B000000}">
          <x14:formula1>
            <xm:f>'C:\Users\T5QN7KN.CN\Desktop\[Info Collection_长春万丰智能(1).xlsx]Sheet3'!#REF!</xm:f>
          </x14:formula1>
          <xm:sqref>H542:H555</xm:sqref>
        </x14:dataValidation>
        <x14:dataValidation type="list" allowBlank="1" showInputMessage="1" showErrorMessage="1" xr:uid="{00000000-0002-0000-0000-00000C000000}">
          <x14:formula1>
            <xm:f>'\\10.120.19.16\VASS-Certificate\03_Registration\202310\上海捷慧自动化设备有限公司\[New Info Collection_上海捷慧.xlsx]Sheet3'!#REF!</xm:f>
          </x14:formula1>
          <xm:sqref>H560 H562 H568:H569</xm:sqref>
        </x14:dataValidation>
        <x14:dataValidation type="list" allowBlank="1" showInputMessage="1" showErrorMessage="1" xr:uid="{00000000-0002-0000-0000-00000D000000}">
          <x14:formula1>
            <xm:f>'\\10.120.19.16\VASS-Certificate\03_Registration\202310\长春市捷众自动化科技有限公司\[New-Info Collection_长春市捷众自动化科技有限公司.xlsx]Sheet3'!#REF!</xm:f>
          </x14:formula1>
          <xm:sqref>H559</xm:sqref>
        </x14:dataValidation>
        <x14:dataValidation type="list" allowBlank="1" showInputMessage="1" showErrorMessage="1" xr:uid="{00000000-0002-0000-0000-00000E000000}">
          <x14:formula1>
            <xm:f>'\\10.120.19.16\VASS-Certificate\03_Registration\202311\[Info Collection_VWA_20231003.xlsx]Sheet3'!#REF!</xm:f>
          </x14:formula1>
          <xm:sqref>H605:H703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>
    <pageSetUpPr fitToPage="1"/>
  </sheetPr>
  <dimension ref="A1:N84"/>
  <sheetViews>
    <sheetView zoomScale="85" zoomScaleNormal="85" workbookViewId="0">
      <pane xSplit="2" ySplit="3" topLeftCell="C9" activePane="bottomRight" state="frozen"/>
      <selection pane="topRight" activeCell="C1" sqref="C1"/>
      <selection pane="bottomLeft" activeCell="A4" sqref="A4"/>
      <selection pane="bottomRight" activeCell="C13" sqref="C13"/>
    </sheetView>
  </sheetViews>
  <sheetFormatPr defaultColWidth="9.1796875" defaultRowHeight="14.5"/>
  <cols>
    <col min="1" max="1" width="16.1796875" style="115" bestFit="1" customWidth="1"/>
    <col min="2" max="2" width="47.453125" customWidth="1"/>
    <col min="3" max="3" width="51" customWidth="1"/>
    <col min="4" max="4" width="35.1796875" customWidth="1"/>
    <col min="5" max="5" width="41.81640625" customWidth="1"/>
    <col min="6" max="6" width="31.1796875" customWidth="1"/>
    <col min="7" max="7" width="64.453125" customWidth="1"/>
    <col min="8" max="8" width="32.81640625" customWidth="1"/>
    <col min="9" max="9" width="15.453125" customWidth="1"/>
    <col min="10" max="10" width="40.453125" customWidth="1"/>
    <col min="11" max="11" width="11.453125" customWidth="1"/>
    <col min="12" max="12" width="43.81640625" bestFit="1" customWidth="1"/>
  </cols>
  <sheetData>
    <row r="1" spans="1:12" ht="28.5">
      <c r="A1" s="586" t="s">
        <v>3306</v>
      </c>
      <c r="B1" s="587"/>
      <c r="C1" s="587"/>
      <c r="D1" s="587"/>
      <c r="E1" s="587"/>
      <c r="F1" s="587"/>
      <c r="G1" s="587"/>
      <c r="H1" s="181"/>
      <c r="I1" s="181"/>
      <c r="J1" s="181"/>
      <c r="K1" s="181"/>
      <c r="L1" s="181"/>
    </row>
    <row r="2" spans="1:12" ht="21">
      <c r="A2" s="423" t="s">
        <v>3307</v>
      </c>
      <c r="B2" s="424" t="s">
        <v>3308</v>
      </c>
      <c r="C2" s="423" t="s">
        <v>3309</v>
      </c>
      <c r="D2" s="425" t="s">
        <v>3310</v>
      </c>
      <c r="E2" s="425" t="s">
        <v>3311</v>
      </c>
      <c r="F2" s="423" t="s">
        <v>3312</v>
      </c>
      <c r="G2" s="423" t="s">
        <v>3313</v>
      </c>
      <c r="H2" s="423" t="s">
        <v>3314</v>
      </c>
      <c r="I2" s="423" t="s">
        <v>3315</v>
      </c>
      <c r="J2" s="423" t="s">
        <v>3316</v>
      </c>
      <c r="K2" s="181" t="s">
        <v>3317</v>
      </c>
      <c r="L2" s="173" t="s">
        <v>3318</v>
      </c>
    </row>
    <row r="3" spans="1:12" ht="31">
      <c r="A3" s="423" t="s">
        <v>1</v>
      </c>
      <c r="B3" s="424" t="s">
        <v>6</v>
      </c>
      <c r="C3" s="423" t="s">
        <v>7</v>
      </c>
      <c r="D3" s="425" t="s">
        <v>3319</v>
      </c>
      <c r="E3" s="425" t="s">
        <v>3320</v>
      </c>
      <c r="F3" s="423" t="s">
        <v>3321</v>
      </c>
      <c r="G3" s="423" t="s">
        <v>3322</v>
      </c>
      <c r="H3" s="423" t="s">
        <v>3323</v>
      </c>
      <c r="I3" s="423" t="s">
        <v>3324</v>
      </c>
      <c r="J3" s="423" t="s">
        <v>3325</v>
      </c>
      <c r="K3" s="181"/>
      <c r="L3" s="173" t="s">
        <v>3326</v>
      </c>
    </row>
    <row r="4" spans="1:12" ht="15.5">
      <c r="A4" s="426" t="s">
        <v>11</v>
      </c>
      <c r="B4" s="427" t="s">
        <v>16</v>
      </c>
      <c r="C4" s="428" t="s">
        <v>17</v>
      </c>
      <c r="D4" s="365" t="s">
        <v>3327</v>
      </c>
      <c r="E4" s="365" t="s">
        <v>3328</v>
      </c>
      <c r="F4" s="429" t="s">
        <v>3329</v>
      </c>
      <c r="G4" s="430" t="s">
        <v>3330</v>
      </c>
      <c r="H4" s="365" t="s">
        <v>3331</v>
      </c>
      <c r="I4" s="431" t="s">
        <v>3332</v>
      </c>
      <c r="J4" s="365" t="s">
        <v>3333</v>
      </c>
      <c r="K4" s="181"/>
      <c r="L4" s="181"/>
    </row>
    <row r="5" spans="1:12" ht="15.5">
      <c r="A5" s="426" t="s">
        <v>20</v>
      </c>
      <c r="B5" s="432" t="s">
        <v>57</v>
      </c>
      <c r="C5" s="428" t="s">
        <v>485</v>
      </c>
      <c r="D5" s="365" t="s">
        <v>3334</v>
      </c>
      <c r="E5" s="365" t="s">
        <v>3335</v>
      </c>
      <c r="F5" s="429" t="s">
        <v>3336</v>
      </c>
      <c r="G5" s="430" t="s">
        <v>3337</v>
      </c>
      <c r="H5" s="429">
        <v>18121260501</v>
      </c>
      <c r="I5" s="431" t="s">
        <v>3338</v>
      </c>
      <c r="J5" s="365" t="s">
        <v>3339</v>
      </c>
      <c r="K5" s="181" t="s">
        <v>3340</v>
      </c>
      <c r="L5" s="172" t="s">
        <v>3341</v>
      </c>
    </row>
    <row r="6" spans="1:12" ht="15.5">
      <c r="A6" s="426" t="s">
        <v>25</v>
      </c>
      <c r="B6" s="433" t="s">
        <v>288</v>
      </c>
      <c r="C6" s="428" t="s">
        <v>289</v>
      </c>
      <c r="D6" s="365" t="s">
        <v>3342</v>
      </c>
      <c r="E6" s="365" t="s">
        <v>3343</v>
      </c>
      <c r="F6" s="429" t="s">
        <v>3344</v>
      </c>
      <c r="G6" s="430" t="s">
        <v>3345</v>
      </c>
      <c r="H6" s="365" t="s">
        <v>3346</v>
      </c>
      <c r="I6" s="431" t="s">
        <v>3347</v>
      </c>
      <c r="J6" s="365" t="s">
        <v>3348</v>
      </c>
      <c r="K6" s="181"/>
      <c r="L6" s="181"/>
    </row>
    <row r="7" spans="1:12" ht="15.5">
      <c r="A7" s="426" t="s">
        <v>30</v>
      </c>
      <c r="B7" s="365" t="s">
        <v>83</v>
      </c>
      <c r="C7" s="365" t="s">
        <v>84</v>
      </c>
      <c r="D7" s="365" t="s">
        <v>3349</v>
      </c>
      <c r="E7" s="365" t="s">
        <v>3350</v>
      </c>
      <c r="F7" s="429" t="s">
        <v>3351</v>
      </c>
      <c r="G7" s="430" t="s">
        <v>3352</v>
      </c>
      <c r="H7" s="429" t="s">
        <v>3353</v>
      </c>
      <c r="I7" s="431" t="s">
        <v>3354</v>
      </c>
      <c r="J7" s="365" t="s">
        <v>3355</v>
      </c>
      <c r="K7" s="181"/>
      <c r="L7" s="181"/>
    </row>
    <row r="8" spans="1:12" ht="15.5">
      <c r="A8" s="426" t="s">
        <v>34</v>
      </c>
      <c r="B8" s="365" t="s">
        <v>94</v>
      </c>
      <c r="C8" s="365" t="s">
        <v>95</v>
      </c>
      <c r="D8" s="365" t="s">
        <v>3356</v>
      </c>
      <c r="E8" s="365" t="s">
        <v>3357</v>
      </c>
      <c r="F8" s="434" t="s">
        <v>3358</v>
      </c>
      <c r="G8" s="430" t="s">
        <v>3359</v>
      </c>
      <c r="H8" s="431" t="s">
        <v>3360</v>
      </c>
      <c r="I8" s="431" t="s">
        <v>3361</v>
      </c>
      <c r="J8" s="365" t="s">
        <v>3362</v>
      </c>
      <c r="K8" s="181"/>
      <c r="L8" s="181"/>
    </row>
    <row r="9" spans="1:12" ht="15.5">
      <c r="A9" s="426" t="s">
        <v>40</v>
      </c>
      <c r="B9" s="365" t="s">
        <v>245</v>
      </c>
      <c r="C9" s="435" t="s">
        <v>246</v>
      </c>
      <c r="D9" s="429" t="s">
        <v>3363</v>
      </c>
      <c r="E9" s="365" t="s">
        <v>3364</v>
      </c>
      <c r="F9" s="429" t="s">
        <v>3365</v>
      </c>
      <c r="G9" s="430" t="s">
        <v>3366</v>
      </c>
      <c r="H9" s="429" t="s">
        <v>1991</v>
      </c>
      <c r="I9" s="431" t="s">
        <v>3367</v>
      </c>
      <c r="J9" s="365" t="s">
        <v>3368</v>
      </c>
      <c r="K9" s="436" t="s">
        <v>3369</v>
      </c>
      <c r="L9" s="436" t="s">
        <v>3369</v>
      </c>
    </row>
    <row r="10" spans="1:12" ht="15.5">
      <c r="A10" s="426" t="s">
        <v>45</v>
      </c>
      <c r="B10" s="431" t="s">
        <v>262</v>
      </c>
      <c r="C10" s="428" t="s">
        <v>263</v>
      </c>
      <c r="D10" s="431" t="s">
        <v>3370</v>
      </c>
      <c r="E10" s="431" t="s">
        <v>3371</v>
      </c>
      <c r="F10" s="431" t="s">
        <v>3372</v>
      </c>
      <c r="G10" s="437" t="s">
        <v>3373</v>
      </c>
      <c r="H10" s="429" t="s">
        <v>3374</v>
      </c>
      <c r="I10" s="431" t="s">
        <v>3375</v>
      </c>
      <c r="J10" s="365" t="s">
        <v>3376</v>
      </c>
      <c r="K10" s="181"/>
      <c r="L10" s="181"/>
    </row>
    <row r="11" spans="1:12" s="149" customFormat="1" ht="14.25" customHeight="1">
      <c r="A11" s="426" t="s">
        <v>49</v>
      </c>
      <c r="B11" s="431" t="s">
        <v>3377</v>
      </c>
      <c r="C11" s="428"/>
      <c r="D11" s="438" t="s">
        <v>3378</v>
      </c>
      <c r="E11" s="431" t="s">
        <v>3379</v>
      </c>
      <c r="F11" s="438" t="s">
        <v>3380</v>
      </c>
      <c r="G11" s="437" t="s">
        <v>3381</v>
      </c>
      <c r="H11" s="365" t="s">
        <v>3382</v>
      </c>
      <c r="I11" s="365"/>
      <c r="J11" s="365"/>
      <c r="K11" s="181"/>
      <c r="L11" s="181"/>
    </row>
    <row r="12" spans="1:12" ht="15.5">
      <c r="A12" s="439" t="s">
        <v>53</v>
      </c>
      <c r="B12" s="440" t="s">
        <v>387</v>
      </c>
      <c r="C12" s="441" t="s">
        <v>1018</v>
      </c>
      <c r="D12" s="442" t="s">
        <v>3383</v>
      </c>
      <c r="E12" s="443" t="s">
        <v>3384</v>
      </c>
      <c r="F12" s="442" t="s">
        <v>3385</v>
      </c>
      <c r="G12" s="443" t="s">
        <v>3386</v>
      </c>
      <c r="H12" s="443">
        <v>13601986527</v>
      </c>
      <c r="I12" s="443" t="s">
        <v>3387</v>
      </c>
      <c r="J12" s="444" t="s">
        <v>3388</v>
      </c>
      <c r="K12" s="443" t="s">
        <v>3389</v>
      </c>
      <c r="L12" s="445"/>
    </row>
    <row r="13" spans="1:12" ht="15.5">
      <c r="A13" s="426" t="s">
        <v>60</v>
      </c>
      <c r="B13" s="427" t="s">
        <v>479</v>
      </c>
      <c r="C13" s="428"/>
      <c r="D13" s="429" t="s">
        <v>3390</v>
      </c>
      <c r="E13" s="365" t="s">
        <v>3391</v>
      </c>
      <c r="F13" s="429" t="s">
        <v>3392</v>
      </c>
      <c r="G13" s="430" t="s">
        <v>3393</v>
      </c>
      <c r="H13" s="365" t="s">
        <v>3394</v>
      </c>
      <c r="I13" s="431" t="s">
        <v>3395</v>
      </c>
      <c r="J13" s="446" t="s">
        <v>3396</v>
      </c>
      <c r="K13" s="181"/>
      <c r="L13" s="181"/>
    </row>
    <row r="14" spans="1:12" ht="15.5">
      <c r="A14" s="439" t="s">
        <v>64</v>
      </c>
      <c r="B14" s="432" t="s">
        <v>373</v>
      </c>
      <c r="C14" s="428"/>
      <c r="D14" s="429" t="s">
        <v>3397</v>
      </c>
      <c r="E14" s="365" t="s">
        <v>3398</v>
      </c>
      <c r="F14" s="429" t="s">
        <v>3399</v>
      </c>
      <c r="G14" s="430" t="s">
        <v>3400</v>
      </c>
      <c r="H14" s="429">
        <v>13756251884</v>
      </c>
      <c r="I14" s="431" t="s">
        <v>1451</v>
      </c>
      <c r="J14" s="446" t="s">
        <v>3401</v>
      </c>
      <c r="K14" s="181"/>
      <c r="L14" s="181"/>
    </row>
    <row r="15" spans="1:12" ht="17.25" customHeight="1">
      <c r="A15" s="426"/>
      <c r="B15" s="447" t="s">
        <v>3304</v>
      </c>
      <c r="C15" s="448" t="s">
        <v>3305</v>
      </c>
      <c r="D15" s="287" t="s">
        <v>3402</v>
      </c>
      <c r="E15" s="448" t="s">
        <v>3403</v>
      </c>
      <c r="F15" s="288" t="s">
        <v>3404</v>
      </c>
      <c r="G15" s="449" t="s">
        <v>3405</v>
      </c>
      <c r="H15" s="448" t="s">
        <v>3406</v>
      </c>
      <c r="I15" s="448" t="s">
        <v>3407</v>
      </c>
      <c r="J15" s="289" t="s">
        <v>3408</v>
      </c>
      <c r="K15" s="450" t="s">
        <v>3405</v>
      </c>
      <c r="L15" s="181"/>
    </row>
    <row r="16" spans="1:12" ht="18" customHeight="1">
      <c r="A16" s="426" t="s">
        <v>69</v>
      </c>
      <c r="B16" s="451" t="s">
        <v>3409</v>
      </c>
      <c r="C16" s="452" t="s">
        <v>3410</v>
      </c>
      <c r="D16" s="451" t="s">
        <v>3411</v>
      </c>
      <c r="E16" s="445" t="s">
        <v>3412</v>
      </c>
      <c r="F16" s="453" t="s">
        <v>3413</v>
      </c>
      <c r="G16" s="445" t="s">
        <v>3414</v>
      </c>
      <c r="H16" s="445" t="s">
        <v>3415</v>
      </c>
      <c r="I16" s="454" t="s">
        <v>3416</v>
      </c>
      <c r="J16" s="455" t="s">
        <v>3417</v>
      </c>
      <c r="K16" s="264" t="s">
        <v>3418</v>
      </c>
      <c r="L16" s="116"/>
    </row>
    <row r="17" spans="1:12" ht="15.5">
      <c r="A17" s="426" t="s">
        <v>74</v>
      </c>
      <c r="B17" s="365" t="s">
        <v>332</v>
      </c>
      <c r="C17" s="428"/>
      <c r="D17" s="429" t="s">
        <v>3419</v>
      </c>
      <c r="E17" s="365" t="s">
        <v>3420</v>
      </c>
      <c r="F17" s="429" t="s">
        <v>3421</v>
      </c>
      <c r="G17" s="430" t="s">
        <v>3422</v>
      </c>
      <c r="H17" s="365" t="s">
        <v>3423</v>
      </c>
      <c r="I17" s="431" t="s">
        <v>3424</v>
      </c>
      <c r="J17" s="365" t="s">
        <v>3425</v>
      </c>
      <c r="K17" s="181"/>
      <c r="L17" s="181"/>
    </row>
    <row r="18" spans="1:12" ht="29">
      <c r="A18" s="426" t="s">
        <v>79</v>
      </c>
      <c r="B18" s="365" t="s">
        <v>306</v>
      </c>
      <c r="C18" s="428"/>
      <c r="D18" s="365" t="s">
        <v>3426</v>
      </c>
      <c r="E18" s="365" t="s">
        <v>3427</v>
      </c>
      <c r="F18" s="429" t="s">
        <v>3428</v>
      </c>
      <c r="G18" s="430" t="s">
        <v>3429</v>
      </c>
      <c r="H18" s="429" t="s">
        <v>3430</v>
      </c>
      <c r="I18" s="431" t="s">
        <v>3431</v>
      </c>
      <c r="J18" s="365" t="s">
        <v>3432</v>
      </c>
      <c r="K18" s="181"/>
      <c r="L18" s="181"/>
    </row>
    <row r="19" spans="1:12" ht="17.25" customHeight="1">
      <c r="A19" s="426" t="s">
        <v>85</v>
      </c>
      <c r="B19" s="427" t="s">
        <v>533</v>
      </c>
      <c r="C19" s="428"/>
      <c r="D19" s="429" t="s">
        <v>3433</v>
      </c>
      <c r="E19" s="365" t="s">
        <v>3357</v>
      </c>
      <c r="F19" s="429" t="s">
        <v>3434</v>
      </c>
      <c r="G19" s="430" t="s">
        <v>3435</v>
      </c>
      <c r="H19" s="365" t="s">
        <v>3436</v>
      </c>
      <c r="I19" s="365" t="s">
        <v>3437</v>
      </c>
      <c r="J19" s="446" t="s">
        <v>3438</v>
      </c>
      <c r="K19" s="181"/>
      <c r="L19" s="181"/>
    </row>
    <row r="20" spans="1:12" ht="15.5">
      <c r="A20" s="426" t="s">
        <v>53</v>
      </c>
      <c r="B20" s="456" t="s">
        <v>560</v>
      </c>
      <c r="C20" s="428" t="s">
        <v>1593</v>
      </c>
      <c r="D20" s="365" t="s">
        <v>3439</v>
      </c>
      <c r="E20" s="365" t="s">
        <v>3440</v>
      </c>
      <c r="F20" s="429" t="s">
        <v>3441</v>
      </c>
      <c r="G20" s="430" t="s">
        <v>3442</v>
      </c>
      <c r="H20" s="239" t="s">
        <v>3443</v>
      </c>
      <c r="I20" s="238" t="s">
        <v>3444</v>
      </c>
      <c r="J20" s="446" t="s">
        <v>3445</v>
      </c>
      <c r="K20" s="181" t="s">
        <v>3446</v>
      </c>
      <c r="L20" s="181"/>
    </row>
    <row r="21" spans="1:12" ht="15.5">
      <c r="A21" s="426"/>
      <c r="B21" s="427"/>
      <c r="C21" s="428"/>
      <c r="D21" s="365"/>
      <c r="E21" s="365"/>
      <c r="F21" s="434"/>
      <c r="G21" s="430"/>
      <c r="H21" s="365"/>
      <c r="I21" s="365"/>
      <c r="J21" s="365"/>
      <c r="K21" s="181"/>
      <c r="L21" s="181"/>
    </row>
    <row r="22" spans="1:12" ht="15.5">
      <c r="A22" s="426" t="s">
        <v>97</v>
      </c>
      <c r="B22" s="457" t="s">
        <v>805</v>
      </c>
      <c r="C22" s="458" t="s">
        <v>806</v>
      </c>
      <c r="D22" s="365" t="s">
        <v>3447</v>
      </c>
      <c r="E22" s="365" t="s">
        <v>3448</v>
      </c>
      <c r="F22" s="434" t="s">
        <v>3449</v>
      </c>
      <c r="G22" s="430" t="s">
        <v>3450</v>
      </c>
      <c r="H22" s="365" t="s">
        <v>3451</v>
      </c>
      <c r="I22" s="365" t="s">
        <v>3452</v>
      </c>
      <c r="J22" s="446" t="s">
        <v>3453</v>
      </c>
      <c r="K22" s="181"/>
      <c r="L22" s="181"/>
    </row>
    <row r="23" spans="1:12" ht="15.5">
      <c r="A23" s="426" t="s">
        <v>102</v>
      </c>
      <c r="B23" s="459" t="s">
        <v>641</v>
      </c>
      <c r="C23" s="459" t="s">
        <v>642</v>
      </c>
      <c r="D23" s="459" t="s">
        <v>3454</v>
      </c>
      <c r="E23" s="459" t="s">
        <v>3343</v>
      </c>
      <c r="F23" s="460" t="s">
        <v>3455</v>
      </c>
      <c r="G23" s="459" t="s">
        <v>3456</v>
      </c>
      <c r="H23" s="459">
        <v>15895657100</v>
      </c>
      <c r="I23" s="459" t="s">
        <v>3457</v>
      </c>
      <c r="J23" s="461" t="s">
        <v>3458</v>
      </c>
      <c r="K23" s="459" t="s">
        <v>3459</v>
      </c>
      <c r="L23" s="459" t="s">
        <v>3459</v>
      </c>
    </row>
    <row r="24" spans="1:12" ht="15.5">
      <c r="A24" s="426" t="s">
        <v>107</v>
      </c>
      <c r="B24" s="427" t="s">
        <v>648</v>
      </c>
      <c r="C24" s="428" t="s">
        <v>3460</v>
      </c>
      <c r="D24" s="434" t="s">
        <v>3461</v>
      </c>
      <c r="E24" s="365" t="s">
        <v>3462</v>
      </c>
      <c r="F24" s="434" t="s">
        <v>3463</v>
      </c>
      <c r="G24" s="430" t="s">
        <v>3464</v>
      </c>
      <c r="H24" s="366">
        <v>13761627248</v>
      </c>
      <c r="I24" s="365" t="s">
        <v>3465</v>
      </c>
      <c r="J24" s="365" t="s">
        <v>3466</v>
      </c>
      <c r="K24" s="181"/>
      <c r="L24" s="181"/>
    </row>
    <row r="25" spans="1:12" ht="15.5">
      <c r="A25" s="426" t="s">
        <v>112</v>
      </c>
      <c r="B25" s="432" t="s">
        <v>696</v>
      </c>
      <c r="C25" s="428" t="s">
        <v>3467</v>
      </c>
      <c r="D25" s="434" t="s">
        <v>3468</v>
      </c>
      <c r="E25" s="365" t="s">
        <v>3469</v>
      </c>
      <c r="F25" s="434" t="s">
        <v>3470</v>
      </c>
      <c r="G25" s="430" t="s">
        <v>3471</v>
      </c>
      <c r="H25" s="366">
        <v>18962177432</v>
      </c>
      <c r="I25" s="365" t="s">
        <v>3472</v>
      </c>
      <c r="J25" s="446" t="s">
        <v>3473</v>
      </c>
      <c r="K25" s="181"/>
      <c r="L25" s="181"/>
    </row>
    <row r="26" spans="1:12" s="149" customFormat="1" ht="15.5">
      <c r="A26" s="426" t="s">
        <v>117</v>
      </c>
      <c r="B26" s="462" t="s">
        <v>742</v>
      </c>
      <c r="C26" s="463" t="s">
        <v>743</v>
      </c>
      <c r="D26" s="434" t="s">
        <v>3474</v>
      </c>
      <c r="E26" s="365" t="s">
        <v>3475</v>
      </c>
      <c r="F26" s="434" t="s">
        <v>3476</v>
      </c>
      <c r="G26" s="430" t="s">
        <v>3477</v>
      </c>
      <c r="H26" s="464" t="s">
        <v>3478</v>
      </c>
      <c r="I26" s="431" t="s">
        <v>3479</v>
      </c>
      <c r="J26" s="446" t="s">
        <v>3480</v>
      </c>
      <c r="K26" s="181"/>
      <c r="L26" s="181"/>
    </row>
    <row r="27" spans="1:12" s="181" customFormat="1" ht="15.5">
      <c r="A27" s="465" t="s">
        <v>60</v>
      </c>
      <c r="B27" s="383" t="s">
        <v>775</v>
      </c>
      <c r="C27" s="383" t="s">
        <v>1834</v>
      </c>
      <c r="D27" s="385" t="s">
        <v>3481</v>
      </c>
      <c r="E27" s="383" t="s">
        <v>3482</v>
      </c>
      <c r="F27" s="385" t="s">
        <v>3483</v>
      </c>
      <c r="G27" s="383" t="s">
        <v>3484</v>
      </c>
      <c r="H27" s="466">
        <v>15921382762</v>
      </c>
      <c r="I27" s="383" t="s">
        <v>3485</v>
      </c>
      <c r="J27" s="467" t="s">
        <v>3486</v>
      </c>
      <c r="K27" s="118" t="s">
        <v>3487</v>
      </c>
      <c r="L27" s="118"/>
    </row>
    <row r="28" spans="1:12" s="181" customFormat="1" ht="15.5">
      <c r="A28" s="465" t="s">
        <v>45</v>
      </c>
      <c r="B28" s="383" t="s">
        <v>3488</v>
      </c>
      <c r="C28" s="383" t="s">
        <v>3489</v>
      </c>
      <c r="D28" s="385" t="s">
        <v>3490</v>
      </c>
      <c r="E28" s="383" t="s">
        <v>3491</v>
      </c>
      <c r="F28" s="385" t="s">
        <v>3492</v>
      </c>
      <c r="G28" s="383" t="s">
        <v>3493</v>
      </c>
      <c r="H28" s="466">
        <v>18817693710</v>
      </c>
      <c r="I28" s="383" t="s">
        <v>3494</v>
      </c>
      <c r="J28" s="467" t="s">
        <v>3495</v>
      </c>
      <c r="K28" s="118" t="s">
        <v>3493</v>
      </c>
      <c r="L28" s="118"/>
    </row>
    <row r="29" spans="1:12" ht="15.5">
      <c r="A29" s="426" t="s">
        <v>131</v>
      </c>
      <c r="B29" s="365" t="s">
        <v>879</v>
      </c>
      <c r="C29" s="365" t="s">
        <v>3496</v>
      </c>
      <c r="D29" s="434" t="s">
        <v>3497</v>
      </c>
      <c r="E29" s="365" t="s">
        <v>3498</v>
      </c>
      <c r="F29" s="434" t="s">
        <v>3499</v>
      </c>
      <c r="G29" s="430" t="s">
        <v>3500</v>
      </c>
      <c r="H29" s="366">
        <v>18186879059</v>
      </c>
      <c r="I29" s="431" t="s">
        <v>3501</v>
      </c>
      <c r="J29" s="365" t="s">
        <v>3502</v>
      </c>
      <c r="K29" s="181"/>
      <c r="L29" s="181"/>
    </row>
    <row r="30" spans="1:12" ht="15.5">
      <c r="A30" s="426" t="s">
        <v>135</v>
      </c>
      <c r="B30" s="468" t="s">
        <v>867</v>
      </c>
      <c r="C30" s="365" t="s">
        <v>868</v>
      </c>
      <c r="D30" s="434" t="s">
        <v>3503</v>
      </c>
      <c r="E30" s="365" t="s">
        <v>3504</v>
      </c>
      <c r="F30" s="434" t="s">
        <v>3505</v>
      </c>
      <c r="G30" s="430" t="s">
        <v>3506</v>
      </c>
      <c r="H30" s="366">
        <v>13853106765</v>
      </c>
      <c r="I30" s="431" t="s">
        <v>3507</v>
      </c>
      <c r="J30" s="365" t="s">
        <v>3508</v>
      </c>
      <c r="K30" s="181"/>
      <c r="L30" s="181"/>
    </row>
    <row r="31" spans="1:12" ht="15.5">
      <c r="A31" s="426" t="s">
        <v>140</v>
      </c>
      <c r="B31" s="365" t="s">
        <v>1011</v>
      </c>
      <c r="C31" s="365"/>
      <c r="D31" s="434" t="s">
        <v>3509</v>
      </c>
      <c r="E31" s="365" t="s">
        <v>3510</v>
      </c>
      <c r="F31" s="434" t="s">
        <v>3511</v>
      </c>
      <c r="G31" s="430" t="s">
        <v>3512</v>
      </c>
      <c r="H31" s="366">
        <v>13817154851</v>
      </c>
      <c r="I31" s="431" t="s">
        <v>3513</v>
      </c>
      <c r="J31" s="365" t="s">
        <v>3514</v>
      </c>
      <c r="K31" s="181"/>
      <c r="L31" s="181"/>
    </row>
    <row r="32" spans="1:12" ht="15.5">
      <c r="A32" s="426" t="s">
        <v>145</v>
      </c>
      <c r="B32" s="462" t="s">
        <v>1171</v>
      </c>
      <c r="C32" s="365" t="s">
        <v>3515</v>
      </c>
      <c r="D32" s="434" t="s">
        <v>3516</v>
      </c>
      <c r="E32" s="365" t="s">
        <v>3517</v>
      </c>
      <c r="F32" s="434" t="s">
        <v>3518</v>
      </c>
      <c r="G32" s="430" t="s">
        <v>3519</v>
      </c>
      <c r="H32" s="469">
        <v>13524829605</v>
      </c>
      <c r="I32" s="431" t="s">
        <v>3520</v>
      </c>
      <c r="J32" s="470" t="s">
        <v>3521</v>
      </c>
      <c r="K32" s="181" t="s">
        <v>3522</v>
      </c>
      <c r="L32" s="181"/>
    </row>
    <row r="33" spans="1:14" ht="15.5">
      <c r="A33" s="426" t="s">
        <v>150</v>
      </c>
      <c r="B33" s="365" t="s">
        <v>861</v>
      </c>
      <c r="C33" s="365" t="s">
        <v>3523</v>
      </c>
      <c r="D33" s="434" t="s">
        <v>3524</v>
      </c>
      <c r="E33" s="365" t="s">
        <v>3525</v>
      </c>
      <c r="F33" s="434" t="s">
        <v>3526</v>
      </c>
      <c r="G33" s="430" t="s">
        <v>3527</v>
      </c>
      <c r="H33" s="366">
        <v>19956591572</v>
      </c>
      <c r="I33" s="365" t="s">
        <v>3528</v>
      </c>
      <c r="J33" s="365" t="s">
        <v>3529</v>
      </c>
      <c r="K33" s="181"/>
      <c r="L33" s="181"/>
      <c r="M33" s="181"/>
      <c r="N33" s="181"/>
    </row>
    <row r="34" spans="1:14" ht="15.5">
      <c r="A34" s="426" t="s">
        <v>155</v>
      </c>
      <c r="B34" s="365" t="s">
        <v>819</v>
      </c>
      <c r="C34" s="365" t="s">
        <v>820</v>
      </c>
      <c r="D34" s="434" t="s">
        <v>3530</v>
      </c>
      <c r="E34" s="365" t="s">
        <v>3531</v>
      </c>
      <c r="F34" s="434" t="s">
        <v>3532</v>
      </c>
      <c r="G34" s="430" t="s">
        <v>3533</v>
      </c>
      <c r="H34" s="366">
        <v>18017568527</v>
      </c>
      <c r="I34" s="365" t="s">
        <v>3534</v>
      </c>
      <c r="J34" s="365" t="s">
        <v>3535</v>
      </c>
      <c r="K34" s="181"/>
      <c r="L34" s="181"/>
      <c r="M34" s="181"/>
      <c r="N34" s="181"/>
    </row>
    <row r="35" spans="1:14" ht="15.5">
      <c r="A35" s="426" t="s">
        <v>160</v>
      </c>
      <c r="B35" s="471" t="s">
        <v>899</v>
      </c>
      <c r="C35" s="372" t="s">
        <v>3263</v>
      </c>
      <c r="D35" s="372" t="s">
        <v>3536</v>
      </c>
      <c r="E35" s="372" t="s">
        <v>3537</v>
      </c>
      <c r="F35" s="472" t="s">
        <v>3538</v>
      </c>
      <c r="G35" s="372" t="s">
        <v>3539</v>
      </c>
      <c r="H35" s="472" t="s">
        <v>3540</v>
      </c>
      <c r="I35" s="372" t="s">
        <v>3541</v>
      </c>
      <c r="J35" s="372" t="s">
        <v>3542</v>
      </c>
      <c r="K35" s="372" t="s">
        <v>3543</v>
      </c>
      <c r="L35" s="181"/>
      <c r="M35" s="181"/>
      <c r="N35" s="181"/>
    </row>
    <row r="36" spans="1:14" ht="15.5">
      <c r="A36" s="426" t="s">
        <v>165</v>
      </c>
      <c r="B36" s="286" t="s">
        <v>917</v>
      </c>
      <c r="C36" s="372" t="s">
        <v>3544</v>
      </c>
      <c r="D36" s="372" t="s">
        <v>3545</v>
      </c>
      <c r="E36" s="372" t="s">
        <v>3546</v>
      </c>
      <c r="F36" s="285" t="s">
        <v>3547</v>
      </c>
      <c r="G36" s="372" t="s">
        <v>3548</v>
      </c>
      <c r="H36" s="372">
        <v>15861578163</v>
      </c>
      <c r="I36" s="372" t="s">
        <v>3549</v>
      </c>
      <c r="J36" s="473" t="s">
        <v>3550</v>
      </c>
      <c r="K36" s="372" t="s">
        <v>3551</v>
      </c>
      <c r="L36" s="181"/>
      <c r="M36" s="181"/>
      <c r="N36" s="181"/>
    </row>
    <row r="37" spans="1:14" ht="15.5">
      <c r="A37" s="426" t="s">
        <v>170</v>
      </c>
      <c r="B37" s="365" t="s">
        <v>845</v>
      </c>
      <c r="C37" s="365" t="s">
        <v>3552</v>
      </c>
      <c r="D37" s="434" t="s">
        <v>3553</v>
      </c>
      <c r="E37" s="365" t="s">
        <v>3554</v>
      </c>
      <c r="F37" s="434" t="s">
        <v>3555</v>
      </c>
      <c r="G37" s="430" t="s">
        <v>3556</v>
      </c>
      <c r="H37" s="366">
        <v>18964850056</v>
      </c>
      <c r="I37" s="365" t="s">
        <v>3557</v>
      </c>
      <c r="J37" s="446" t="s">
        <v>3558</v>
      </c>
      <c r="K37" s="181"/>
      <c r="L37" s="181"/>
      <c r="M37" s="181"/>
      <c r="N37" s="181"/>
    </row>
    <row r="38" spans="1:14" ht="16">
      <c r="A38" s="474" t="s">
        <v>3559</v>
      </c>
      <c r="B38" s="475" t="s">
        <v>851</v>
      </c>
      <c r="C38" s="365" t="s">
        <v>3560</v>
      </c>
      <c r="D38" s="434" t="s">
        <v>3561</v>
      </c>
      <c r="E38" s="365" t="s">
        <v>3562</v>
      </c>
      <c r="F38" s="434" t="s">
        <v>3563</v>
      </c>
      <c r="G38" s="430" t="s">
        <v>3564</v>
      </c>
      <c r="H38" s="366">
        <v>18240048625</v>
      </c>
      <c r="I38" s="365" t="s">
        <v>3565</v>
      </c>
      <c r="J38" s="446" t="s">
        <v>3566</v>
      </c>
      <c r="K38" s="171" t="s">
        <v>3567</v>
      </c>
      <c r="L38" s="181"/>
      <c r="M38" s="181"/>
      <c r="N38" s="181"/>
    </row>
    <row r="39" spans="1:14" ht="15.5">
      <c r="A39" s="426" t="s">
        <v>180</v>
      </c>
      <c r="B39" s="365" t="s">
        <v>889</v>
      </c>
      <c r="C39" s="365" t="s">
        <v>3568</v>
      </c>
      <c r="D39" s="434" t="s">
        <v>3569</v>
      </c>
      <c r="E39" s="365" t="s">
        <v>3570</v>
      </c>
      <c r="F39" s="434" t="s">
        <v>3571</v>
      </c>
      <c r="G39" s="430" t="s">
        <v>3572</v>
      </c>
      <c r="H39" s="366">
        <v>18186879059</v>
      </c>
      <c r="I39" s="365" t="s">
        <v>3573</v>
      </c>
      <c r="J39" s="365" t="s">
        <v>3502</v>
      </c>
      <c r="K39" s="181"/>
      <c r="L39" s="181"/>
      <c r="M39" s="181"/>
      <c r="N39" s="181"/>
    </row>
    <row r="40" spans="1:14" ht="15.5">
      <c r="A40" s="426" t="s">
        <v>185</v>
      </c>
      <c r="B40" s="365" t="s">
        <v>939</v>
      </c>
      <c r="C40" s="365"/>
      <c r="D40" s="434" t="s">
        <v>3574</v>
      </c>
      <c r="E40" s="365" t="s">
        <v>3575</v>
      </c>
      <c r="F40" s="434" t="s">
        <v>3576</v>
      </c>
      <c r="G40" s="430" t="s">
        <v>3577</v>
      </c>
      <c r="H40" s="366">
        <v>15671540119</v>
      </c>
      <c r="I40" s="365" t="s">
        <v>3578</v>
      </c>
      <c r="J40" s="446" t="s">
        <v>3579</v>
      </c>
      <c r="K40" s="181"/>
      <c r="L40" s="181"/>
      <c r="M40" s="181"/>
      <c r="N40" s="181"/>
    </row>
    <row r="41" spans="1:14" ht="15.5">
      <c r="A41" s="426" t="s">
        <v>190</v>
      </c>
      <c r="B41" s="462"/>
      <c r="C41" s="365"/>
      <c r="D41" s="434"/>
      <c r="E41" s="365"/>
      <c r="F41" s="434"/>
      <c r="G41" s="430"/>
      <c r="H41" s="366"/>
      <c r="I41" s="365"/>
      <c r="J41" s="446"/>
      <c r="K41" s="181"/>
      <c r="L41" s="181"/>
      <c r="M41" s="365"/>
      <c r="N41" s="446"/>
    </row>
    <row r="42" spans="1:14" ht="15.5">
      <c r="A42" s="426" t="s">
        <v>195</v>
      </c>
      <c r="B42" s="462" t="s">
        <v>1040</v>
      </c>
      <c r="C42" s="365" t="s">
        <v>1041</v>
      </c>
      <c r="D42" s="434" t="s">
        <v>3580</v>
      </c>
      <c r="E42" s="365" t="s">
        <v>3581</v>
      </c>
      <c r="F42" s="434" t="s">
        <v>3582</v>
      </c>
      <c r="G42" s="430" t="s">
        <v>3583</v>
      </c>
      <c r="H42" s="476" t="s">
        <v>3584</v>
      </c>
      <c r="I42" s="435" t="s">
        <v>2941</v>
      </c>
      <c r="J42" s="435" t="s">
        <v>3585</v>
      </c>
      <c r="K42" s="181" t="s">
        <v>3583</v>
      </c>
      <c r="L42" s="366" t="s">
        <v>3586</v>
      </c>
      <c r="M42" s="181"/>
      <c r="N42" s="181"/>
    </row>
    <row r="43" spans="1:14" ht="15.5">
      <c r="A43" s="426" t="s">
        <v>200</v>
      </c>
      <c r="B43" s="365" t="s">
        <v>3587</v>
      </c>
      <c r="C43" s="365" t="s">
        <v>3588</v>
      </c>
      <c r="D43" s="434" t="s">
        <v>3589</v>
      </c>
      <c r="E43" s="365" t="s">
        <v>3590</v>
      </c>
      <c r="F43" s="434" t="s">
        <v>3591</v>
      </c>
      <c r="G43" s="430" t="s">
        <v>3592</v>
      </c>
      <c r="H43" s="366">
        <v>19956591572</v>
      </c>
      <c r="I43" s="365" t="s">
        <v>3528</v>
      </c>
      <c r="J43" s="365" t="s">
        <v>3529</v>
      </c>
      <c r="K43" s="181"/>
      <c r="L43" s="181"/>
      <c r="M43" s="181"/>
      <c r="N43" s="181"/>
    </row>
    <row r="44" spans="1:14" ht="15.5">
      <c r="A44" s="426" t="s">
        <v>205</v>
      </c>
      <c r="B44" s="477" t="s">
        <v>3593</v>
      </c>
      <c r="C44" s="365"/>
      <c r="D44" s="434" t="s">
        <v>3594</v>
      </c>
      <c r="E44" s="365" t="s">
        <v>3595</v>
      </c>
      <c r="F44" s="434" t="s">
        <v>3596</v>
      </c>
      <c r="G44" s="430" t="s">
        <v>3597</v>
      </c>
      <c r="H44" s="366">
        <v>62436924</v>
      </c>
      <c r="I44" s="365"/>
      <c r="J44" s="365"/>
      <c r="K44" s="181"/>
      <c r="L44" s="181"/>
      <c r="M44" s="181"/>
      <c r="N44" s="181"/>
    </row>
    <row r="45" spans="1:14" ht="15.5">
      <c r="A45" s="426" t="s">
        <v>210</v>
      </c>
      <c r="B45" s="365" t="s">
        <v>3598</v>
      </c>
      <c r="C45" s="365"/>
      <c r="D45" s="434" t="s">
        <v>3599</v>
      </c>
      <c r="E45" s="365" t="s">
        <v>3600</v>
      </c>
      <c r="F45" s="434" t="s">
        <v>3601</v>
      </c>
      <c r="G45" s="430" t="s">
        <v>3602</v>
      </c>
      <c r="H45" s="434" t="s">
        <v>3603</v>
      </c>
      <c r="I45" s="365"/>
      <c r="J45" s="365"/>
      <c r="K45" s="181"/>
      <c r="L45" s="181"/>
      <c r="M45" s="181"/>
      <c r="N45" s="181"/>
    </row>
    <row r="46" spans="1:14" s="151" customFormat="1" ht="15" customHeight="1">
      <c r="A46" s="150">
        <v>41</v>
      </c>
      <c r="B46" s="155" t="s">
        <v>1428</v>
      </c>
      <c r="C46" s="181" t="s">
        <v>1429</v>
      </c>
      <c r="D46" s="21" t="s">
        <v>3604</v>
      </c>
      <c r="E46" s="181" t="s">
        <v>3605</v>
      </c>
      <c r="F46" s="21">
        <v>155574456</v>
      </c>
      <c r="G46" s="181" t="s">
        <v>3606</v>
      </c>
      <c r="H46" s="148">
        <v>13578921863</v>
      </c>
      <c r="I46" s="181" t="s">
        <v>1494</v>
      </c>
      <c r="J46" s="162" t="s">
        <v>3607</v>
      </c>
      <c r="K46" s="181" t="s">
        <v>3608</v>
      </c>
      <c r="L46" s="181"/>
    </row>
    <row r="47" spans="1:14" s="151" customFormat="1" ht="28.5" customHeight="1">
      <c r="A47" s="439" t="s">
        <v>3609</v>
      </c>
      <c r="B47" s="478" t="s">
        <v>1564</v>
      </c>
      <c r="C47" s="479" t="s">
        <v>3610</v>
      </c>
      <c r="D47" s="454" t="s">
        <v>3611</v>
      </c>
      <c r="E47" s="454" t="s">
        <v>3612</v>
      </c>
      <c r="F47" s="480">
        <v>571657520474</v>
      </c>
      <c r="G47" s="481" t="s">
        <v>3613</v>
      </c>
      <c r="H47" s="454" t="s">
        <v>3614</v>
      </c>
      <c r="I47" s="454" t="s">
        <v>3615</v>
      </c>
      <c r="J47" s="482" t="s">
        <v>3616</v>
      </c>
    </row>
    <row r="48" spans="1:14" s="151" customFormat="1" ht="15" customHeight="1">
      <c r="A48" s="154">
        <v>43</v>
      </c>
      <c r="B48" s="478" t="s">
        <v>1558</v>
      </c>
      <c r="C48" s="483" t="s">
        <v>1559</v>
      </c>
      <c r="D48" s="484" t="s">
        <v>3617</v>
      </c>
      <c r="E48" s="454" t="s">
        <v>3618</v>
      </c>
      <c r="F48" s="484" t="s">
        <v>3619</v>
      </c>
      <c r="G48" s="454" t="s">
        <v>3620</v>
      </c>
      <c r="H48" s="454">
        <v>13524829605</v>
      </c>
      <c r="I48" s="454" t="s">
        <v>3615</v>
      </c>
      <c r="J48" s="482" t="s">
        <v>3616</v>
      </c>
    </row>
    <row r="49" spans="1:12" s="118" customFormat="1" ht="15.5">
      <c r="A49" s="439"/>
      <c r="B49" s="485"/>
      <c r="C49" s="486"/>
      <c r="D49" s="487"/>
      <c r="E49" s="487"/>
      <c r="F49" s="488"/>
      <c r="G49" s="489"/>
      <c r="H49" s="487"/>
      <c r="I49" s="487"/>
      <c r="J49" s="490"/>
      <c r="K49" s="151"/>
      <c r="L49" s="151"/>
    </row>
    <row r="50" spans="1:12" ht="15.5">
      <c r="A50" s="465">
        <v>45</v>
      </c>
      <c r="B50" s="383" t="s">
        <v>1193</v>
      </c>
      <c r="C50" s="383" t="s">
        <v>3621</v>
      </c>
      <c r="D50" s="385" t="s">
        <v>3622</v>
      </c>
      <c r="E50" s="383" t="s">
        <v>3612</v>
      </c>
      <c r="F50" s="385" t="s">
        <v>3623</v>
      </c>
      <c r="G50" s="383" t="s">
        <v>3624</v>
      </c>
      <c r="H50" s="466">
        <v>13524829605</v>
      </c>
      <c r="I50" s="383" t="s">
        <v>3625</v>
      </c>
      <c r="J50" s="467" t="s">
        <v>3616</v>
      </c>
      <c r="K50" s="118"/>
      <c r="L50" s="118"/>
    </row>
    <row r="51" spans="1:12" ht="15.5">
      <c r="A51" s="465">
        <v>46</v>
      </c>
      <c r="B51" s="366" t="s">
        <v>3626</v>
      </c>
      <c r="C51" s="445" t="s">
        <v>3627</v>
      </c>
      <c r="D51" s="445" t="s">
        <v>3628</v>
      </c>
      <c r="E51" s="445" t="s">
        <v>3629</v>
      </c>
      <c r="F51" s="491" t="s">
        <v>3630</v>
      </c>
      <c r="G51" s="445" t="s">
        <v>3631</v>
      </c>
      <c r="H51" s="445">
        <v>13634408383</v>
      </c>
      <c r="I51" s="445" t="s">
        <v>3632</v>
      </c>
      <c r="J51" s="455" t="s">
        <v>3633</v>
      </c>
      <c r="K51" s="445" t="s">
        <v>3634</v>
      </c>
      <c r="L51" s="198"/>
    </row>
    <row r="52" spans="1:12" ht="15.5">
      <c r="A52" s="492" t="s">
        <v>247</v>
      </c>
      <c r="B52" s="493" t="s">
        <v>2195</v>
      </c>
      <c r="C52" s="494" t="s">
        <v>2196</v>
      </c>
      <c r="D52" s="495" t="s">
        <v>3635</v>
      </c>
      <c r="E52" s="495" t="s">
        <v>3636</v>
      </c>
      <c r="F52" s="496" t="s">
        <v>3637</v>
      </c>
      <c r="G52" s="497" t="s">
        <v>3638</v>
      </c>
      <c r="H52" s="495">
        <v>18721309084</v>
      </c>
      <c r="I52" s="495" t="s">
        <v>3639</v>
      </c>
      <c r="J52" s="200" t="s">
        <v>3640</v>
      </c>
      <c r="K52" s="494" t="s">
        <v>3638</v>
      </c>
      <c r="L52" s="198"/>
    </row>
    <row r="53" spans="1:12" s="181" customFormat="1" ht="15.5">
      <c r="A53" s="465">
        <v>48</v>
      </c>
      <c r="B53" s="383" t="s">
        <v>1819</v>
      </c>
      <c r="C53" s="383" t="s">
        <v>3641</v>
      </c>
      <c r="D53" s="385" t="s">
        <v>3642</v>
      </c>
      <c r="E53" s="383" t="s">
        <v>3643</v>
      </c>
      <c r="F53" s="385" t="s">
        <v>3644</v>
      </c>
      <c r="G53" s="383" t="s">
        <v>3645</v>
      </c>
      <c r="H53" s="466">
        <v>18917165625</v>
      </c>
      <c r="I53" s="383" t="s">
        <v>3646</v>
      </c>
      <c r="J53" s="467" t="s">
        <v>3647</v>
      </c>
      <c r="K53" s="118" t="s">
        <v>3645</v>
      </c>
      <c r="L53" s="118"/>
    </row>
    <row r="54" spans="1:12" s="181" customFormat="1" ht="15.5">
      <c r="A54" s="498"/>
      <c r="B54" s="383"/>
      <c r="C54" s="383"/>
      <c r="D54" s="385"/>
      <c r="E54" s="383"/>
      <c r="F54" s="385"/>
      <c r="G54" s="383"/>
      <c r="H54" s="466"/>
      <c r="I54" s="383"/>
      <c r="J54" s="467"/>
      <c r="K54" s="118"/>
      <c r="L54" s="118"/>
    </row>
    <row r="55" spans="1:12" s="181" customFormat="1" ht="15.5">
      <c r="A55" s="465">
        <v>50</v>
      </c>
      <c r="B55" s="383" t="s">
        <v>2765</v>
      </c>
      <c r="C55" s="383" t="s">
        <v>2766</v>
      </c>
      <c r="D55" s="385" t="s">
        <v>3648</v>
      </c>
      <c r="E55" s="383" t="s">
        <v>3649</v>
      </c>
      <c r="F55" s="385" t="s">
        <v>3650</v>
      </c>
      <c r="G55" s="383" t="s">
        <v>3651</v>
      </c>
      <c r="H55" s="466">
        <v>18606268676</v>
      </c>
      <c r="I55" s="383" t="s">
        <v>3652</v>
      </c>
      <c r="J55" s="467" t="s">
        <v>3653</v>
      </c>
      <c r="K55" s="118" t="s">
        <v>3654</v>
      </c>
      <c r="L55" s="118"/>
    </row>
    <row r="56" spans="1:12" s="181" customFormat="1" ht="15.5">
      <c r="A56" s="465">
        <v>51</v>
      </c>
      <c r="B56" s="383" t="s">
        <v>2263</v>
      </c>
      <c r="C56" s="383" t="s">
        <v>2264</v>
      </c>
      <c r="D56" s="385" t="s">
        <v>3655</v>
      </c>
      <c r="E56" s="383" t="s">
        <v>3656</v>
      </c>
      <c r="F56" s="385">
        <v>156194539</v>
      </c>
      <c r="G56" s="383" t="s">
        <v>3657</v>
      </c>
      <c r="H56" s="466">
        <v>18123301991</v>
      </c>
      <c r="I56" s="383" t="s">
        <v>3658</v>
      </c>
      <c r="J56" s="467" t="s">
        <v>3659</v>
      </c>
      <c r="K56" s="118" t="s">
        <v>3660</v>
      </c>
      <c r="L56" s="118"/>
    </row>
    <row r="57" spans="1:12" s="181" customFormat="1" ht="15.5">
      <c r="A57" s="499">
        <v>52</v>
      </c>
      <c r="B57" s="500" t="s">
        <v>2282</v>
      </c>
      <c r="C57" s="500" t="s">
        <v>2283</v>
      </c>
      <c r="D57" s="501" t="s">
        <v>3661</v>
      </c>
      <c r="E57" s="500" t="s">
        <v>3662</v>
      </c>
      <c r="F57" s="501" t="s">
        <v>3663</v>
      </c>
      <c r="G57" s="500" t="s">
        <v>3664</v>
      </c>
      <c r="H57" s="502">
        <v>15008250982</v>
      </c>
      <c r="I57" s="500" t="s">
        <v>3665</v>
      </c>
      <c r="J57" s="503" t="s">
        <v>3666</v>
      </c>
      <c r="K57" s="118" t="s">
        <v>3664</v>
      </c>
      <c r="L57" s="118"/>
    </row>
    <row r="58" spans="1:12">
      <c r="A58" s="364">
        <v>53</v>
      </c>
      <c r="B58" s="451" t="s">
        <v>2122</v>
      </c>
      <c r="C58" s="452" t="s">
        <v>2670</v>
      </c>
      <c r="D58" s="451" t="s">
        <v>3667</v>
      </c>
      <c r="E58" s="445" t="s">
        <v>3668</v>
      </c>
      <c r="F58" s="445" t="s">
        <v>3669</v>
      </c>
      <c r="G58" s="445" t="s">
        <v>3670</v>
      </c>
      <c r="H58" s="445" t="s">
        <v>2669</v>
      </c>
      <c r="I58" s="454" t="s">
        <v>2666</v>
      </c>
      <c r="J58" s="455" t="s">
        <v>3671</v>
      </c>
      <c r="K58" s="445" t="s">
        <v>3672</v>
      </c>
      <c r="L58" s="366"/>
    </row>
    <row r="59" spans="1:12">
      <c r="A59" s="364">
        <v>54</v>
      </c>
      <c r="B59" s="366" t="s">
        <v>1141</v>
      </c>
      <c r="C59" s="366" t="s">
        <v>3673</v>
      </c>
      <c r="D59" s="464" t="s">
        <v>3674</v>
      </c>
      <c r="E59" s="366" t="s">
        <v>3675</v>
      </c>
      <c r="F59" s="366" t="s">
        <v>3676</v>
      </c>
      <c r="G59" s="366" t="s">
        <v>3677</v>
      </c>
      <c r="H59" s="366">
        <v>13926118350</v>
      </c>
      <c r="I59" s="366" t="s">
        <v>3678</v>
      </c>
      <c r="J59" s="366" t="s">
        <v>3679</v>
      </c>
      <c r="K59" s="366" t="s">
        <v>3677</v>
      </c>
      <c r="L59" s="365"/>
    </row>
    <row r="60" spans="1:12">
      <c r="A60" s="364">
        <v>55</v>
      </c>
      <c r="B60" s="365" t="s">
        <v>3680</v>
      </c>
      <c r="C60" s="365" t="s">
        <v>3681</v>
      </c>
      <c r="D60" s="434" t="s">
        <v>3682</v>
      </c>
      <c r="E60" s="365" t="s">
        <v>3683</v>
      </c>
      <c r="F60" s="365" t="s">
        <v>3684</v>
      </c>
      <c r="G60" s="365" t="s">
        <v>3685</v>
      </c>
      <c r="H60" s="366">
        <v>18404305148</v>
      </c>
      <c r="I60" s="365" t="s">
        <v>3686</v>
      </c>
      <c r="J60" s="365" t="s">
        <v>3687</v>
      </c>
      <c r="K60" s="365" t="s">
        <v>3685</v>
      </c>
      <c r="L60" s="365"/>
    </row>
    <row r="61" spans="1:12">
      <c r="A61" s="364">
        <v>56</v>
      </c>
      <c r="B61" s="365" t="s">
        <v>775</v>
      </c>
      <c r="C61" s="365" t="s">
        <v>1834</v>
      </c>
      <c r="D61" s="434" t="s">
        <v>3481</v>
      </c>
      <c r="E61" s="365" t="s">
        <v>3482</v>
      </c>
      <c r="F61" s="365" t="s">
        <v>3483</v>
      </c>
      <c r="G61" s="365" t="s">
        <v>3484</v>
      </c>
      <c r="H61" s="366">
        <v>15921382762</v>
      </c>
      <c r="I61" s="365" t="s">
        <v>3485</v>
      </c>
      <c r="J61" s="365" t="s">
        <v>3486</v>
      </c>
      <c r="K61" s="365" t="s">
        <v>3487</v>
      </c>
      <c r="L61" s="365"/>
    </row>
    <row r="62" spans="1:12">
      <c r="A62" s="364">
        <v>57</v>
      </c>
      <c r="B62" s="365" t="s">
        <v>1754</v>
      </c>
      <c r="C62" s="365" t="s">
        <v>1755</v>
      </c>
      <c r="D62" s="434" t="s">
        <v>3688</v>
      </c>
      <c r="E62" s="365" t="s">
        <v>3689</v>
      </c>
      <c r="F62" s="365" t="s">
        <v>3690</v>
      </c>
      <c r="G62" s="365" t="s">
        <v>3691</v>
      </c>
      <c r="H62" s="366">
        <v>13894809130</v>
      </c>
      <c r="I62" s="365" t="s">
        <v>3692</v>
      </c>
      <c r="J62" s="365" t="s">
        <v>3693</v>
      </c>
      <c r="K62" s="365" t="s">
        <v>3694</v>
      </c>
      <c r="L62" s="365"/>
    </row>
    <row r="63" spans="1:12">
      <c r="A63" s="364">
        <v>58</v>
      </c>
      <c r="B63" s="365" t="s">
        <v>2724</v>
      </c>
      <c r="C63" s="365" t="s">
        <v>2725</v>
      </c>
      <c r="D63" s="434" t="s">
        <v>3695</v>
      </c>
      <c r="E63" s="365" t="s">
        <v>3696</v>
      </c>
      <c r="F63" s="365" t="s">
        <v>3697</v>
      </c>
      <c r="G63" s="365" t="s">
        <v>3698</v>
      </c>
      <c r="H63" s="365" t="s">
        <v>3699</v>
      </c>
      <c r="I63" s="365" t="s">
        <v>3700</v>
      </c>
      <c r="J63" s="365" t="s">
        <v>3701</v>
      </c>
      <c r="K63" s="365" t="s">
        <v>3702</v>
      </c>
      <c r="L63" s="365"/>
    </row>
    <row r="64" spans="1:12">
      <c r="A64" s="364">
        <v>59</v>
      </c>
      <c r="B64" s="365" t="s">
        <v>2705</v>
      </c>
      <c r="C64" s="365" t="s">
        <v>2706</v>
      </c>
      <c r="D64" s="434" t="s">
        <v>3703</v>
      </c>
      <c r="E64" s="365" t="s">
        <v>3704</v>
      </c>
      <c r="F64" s="365" t="s">
        <v>3705</v>
      </c>
      <c r="G64" s="365" t="s">
        <v>3706</v>
      </c>
      <c r="H64" s="366">
        <v>18019033732</v>
      </c>
      <c r="I64" s="365" t="s">
        <v>2707</v>
      </c>
      <c r="J64" s="365" t="s">
        <v>3707</v>
      </c>
      <c r="K64" s="365" t="s">
        <v>3706</v>
      </c>
      <c r="L64" s="365"/>
    </row>
    <row r="65" spans="1:12">
      <c r="A65" s="504">
        <v>60</v>
      </c>
      <c r="B65" s="451" t="s">
        <v>2233</v>
      </c>
      <c r="C65" s="452" t="s">
        <v>2234</v>
      </c>
      <c r="D65" s="451" t="s">
        <v>3708</v>
      </c>
      <c r="E65" s="445" t="s">
        <v>3709</v>
      </c>
      <c r="F65" s="453" t="s">
        <v>3710</v>
      </c>
      <c r="G65" s="445" t="s">
        <v>3711</v>
      </c>
      <c r="H65" s="505">
        <v>15104406227</v>
      </c>
      <c r="I65" s="505" t="s">
        <v>3712</v>
      </c>
      <c r="J65" s="455" t="s">
        <v>3713</v>
      </c>
      <c r="K65" s="454" t="s">
        <v>3714</v>
      </c>
      <c r="L65" s="506"/>
    </row>
    <row r="66" spans="1:12">
      <c r="A66" s="371">
        <v>61</v>
      </c>
      <c r="B66" s="507" t="s">
        <v>2855</v>
      </c>
      <c r="C66" s="508" t="s">
        <v>2856</v>
      </c>
      <c r="D66" s="509" t="s">
        <v>3715</v>
      </c>
      <c r="E66" s="497" t="s">
        <v>3716</v>
      </c>
      <c r="F66" s="510" t="s">
        <v>3717</v>
      </c>
      <c r="G66" s="497" t="s">
        <v>3718</v>
      </c>
      <c r="H66" s="511">
        <v>13504317633</v>
      </c>
      <c r="I66" s="497" t="s">
        <v>3719</v>
      </c>
      <c r="J66" s="512" t="s">
        <v>3720</v>
      </c>
      <c r="K66" s="497" t="s">
        <v>3721</v>
      </c>
      <c r="L66" s="181"/>
    </row>
    <row r="67" spans="1:12">
      <c r="A67" s="364">
        <v>62</v>
      </c>
      <c r="B67" s="365" t="s">
        <v>2917</v>
      </c>
      <c r="C67" s="365" t="s">
        <v>2918</v>
      </c>
      <c r="D67" s="434" t="s">
        <v>3722</v>
      </c>
      <c r="E67" s="365" t="s">
        <v>3723</v>
      </c>
      <c r="F67" s="365" t="s">
        <v>3724</v>
      </c>
      <c r="G67" s="365" t="s">
        <v>3725</v>
      </c>
      <c r="H67" s="454">
        <v>18623190823</v>
      </c>
      <c r="I67" s="445" t="s">
        <v>3726</v>
      </c>
      <c r="J67" s="365" t="s">
        <v>3727</v>
      </c>
      <c r="K67" s="365" t="s">
        <v>3725</v>
      </c>
      <c r="L67" s="365"/>
    </row>
    <row r="68" spans="1:12">
      <c r="A68" s="364">
        <v>63</v>
      </c>
      <c r="B68" s="365" t="s">
        <v>2949</v>
      </c>
      <c r="C68" s="365" t="s">
        <v>2950</v>
      </c>
      <c r="D68" s="434" t="s">
        <v>3728</v>
      </c>
      <c r="E68" s="365" t="s">
        <v>3729</v>
      </c>
      <c r="F68" s="365" t="s">
        <v>3730</v>
      </c>
      <c r="G68" s="365" t="s">
        <v>3731</v>
      </c>
      <c r="H68" s="366">
        <v>15104432744</v>
      </c>
      <c r="I68" s="365" t="s">
        <v>2945</v>
      </c>
      <c r="J68" s="365" t="s">
        <v>3732</v>
      </c>
      <c r="K68" s="365" t="s">
        <v>3733</v>
      </c>
      <c r="L68" s="365"/>
    </row>
    <row r="69" spans="1:12">
      <c r="A69" s="364">
        <v>64</v>
      </c>
      <c r="B69" s="365" t="s">
        <v>2955</v>
      </c>
      <c r="C69" s="365" t="s">
        <v>2956</v>
      </c>
      <c r="D69" s="434" t="s">
        <v>3734</v>
      </c>
      <c r="E69" s="365" t="s">
        <v>3735</v>
      </c>
      <c r="F69" s="365" t="s">
        <v>3736</v>
      </c>
      <c r="G69" s="365" t="s">
        <v>3737</v>
      </c>
      <c r="H69" s="366">
        <v>13801899523</v>
      </c>
      <c r="I69" s="365" t="s">
        <v>3738</v>
      </c>
      <c r="J69" s="365" t="s">
        <v>3739</v>
      </c>
      <c r="K69" s="365" t="s">
        <v>3740</v>
      </c>
      <c r="L69" s="365"/>
    </row>
    <row r="70" spans="1:12">
      <c r="A70" s="371">
        <v>65</v>
      </c>
      <c r="B70" s="370" t="s">
        <v>2882</v>
      </c>
      <c r="C70" s="370" t="s">
        <v>2883</v>
      </c>
      <c r="D70" s="513" t="s">
        <v>3741</v>
      </c>
      <c r="E70" s="370" t="s">
        <v>3742</v>
      </c>
      <c r="F70" s="370" t="s">
        <v>3743</v>
      </c>
      <c r="G70" s="370" t="s">
        <v>3744</v>
      </c>
      <c r="H70" s="514">
        <v>13404355165</v>
      </c>
      <c r="I70" s="370" t="s">
        <v>3745</v>
      </c>
      <c r="J70" s="370" t="s">
        <v>3746</v>
      </c>
      <c r="K70" s="370" t="s">
        <v>3747</v>
      </c>
      <c r="L70" s="370"/>
    </row>
    <row r="71" spans="1:12">
      <c r="A71" s="515"/>
      <c r="B71" s="267"/>
      <c r="C71" s="267"/>
      <c r="D71" s="268"/>
      <c r="E71" s="267"/>
      <c r="F71" s="267"/>
      <c r="G71" s="267"/>
      <c r="H71" s="267"/>
      <c r="I71" s="267"/>
      <c r="J71" s="267"/>
      <c r="K71" s="267"/>
      <c r="L71" s="516"/>
    </row>
    <row r="72" spans="1:12">
      <c r="A72" s="269"/>
      <c r="B72" s="270"/>
      <c r="C72" s="270"/>
      <c r="D72" s="271"/>
      <c r="E72" s="270"/>
      <c r="F72" s="270"/>
      <c r="G72" s="270"/>
      <c r="H72" s="270"/>
      <c r="I72" s="270"/>
      <c r="J72" s="270"/>
      <c r="K72" s="270"/>
      <c r="L72" s="272"/>
    </row>
    <row r="73" spans="1:12">
      <c r="A73" s="266">
        <v>68</v>
      </c>
      <c r="B73" s="517" t="s">
        <v>3748</v>
      </c>
      <c r="C73" s="517" t="s">
        <v>3749</v>
      </c>
      <c r="D73" s="445" t="s">
        <v>3750</v>
      </c>
      <c r="E73" s="445" t="s">
        <v>3751</v>
      </c>
      <c r="F73" s="445" t="s">
        <v>3752</v>
      </c>
      <c r="G73" s="445" t="s">
        <v>3753</v>
      </c>
      <c r="H73" s="445">
        <v>17864115081</v>
      </c>
      <c r="I73" s="445" t="s">
        <v>3754</v>
      </c>
      <c r="J73" s="455" t="s">
        <v>3755</v>
      </c>
      <c r="K73" s="445" t="s">
        <v>3753</v>
      </c>
      <c r="L73" s="273"/>
    </row>
    <row r="74" spans="1:12">
      <c r="A74" s="504">
        <v>69</v>
      </c>
      <c r="B74" s="366"/>
      <c r="C74" s="366"/>
      <c r="D74" s="464"/>
      <c r="E74" s="366"/>
      <c r="F74" s="366"/>
      <c r="G74" s="366"/>
      <c r="H74" s="366"/>
      <c r="I74" s="366"/>
      <c r="J74" s="366"/>
      <c r="K74" s="366"/>
      <c r="L74" s="366"/>
    </row>
    <row r="75" spans="1:12">
      <c r="A75" s="504">
        <v>70</v>
      </c>
      <c r="B75" s="366"/>
      <c r="C75" s="366"/>
      <c r="D75" s="464"/>
      <c r="E75" s="366"/>
      <c r="F75" s="366"/>
      <c r="G75" s="366"/>
      <c r="H75" s="366"/>
      <c r="I75" s="366"/>
      <c r="J75" s="366"/>
      <c r="K75" s="366"/>
      <c r="L75" s="366"/>
    </row>
    <row r="76" spans="1:12">
      <c r="A76" s="504">
        <v>71</v>
      </c>
      <c r="B76" s="366"/>
      <c r="C76" s="366"/>
      <c r="D76" s="464"/>
      <c r="E76" s="366"/>
      <c r="F76" s="366"/>
      <c r="G76" s="366"/>
      <c r="H76" s="366"/>
      <c r="I76" s="366"/>
      <c r="J76" s="366"/>
      <c r="K76" s="366"/>
      <c r="L76" s="366"/>
    </row>
    <row r="77" spans="1:12">
      <c r="A77" s="504">
        <v>72</v>
      </c>
      <c r="B77" s="366"/>
      <c r="C77" s="366"/>
      <c r="D77" s="464"/>
      <c r="E77" s="366"/>
      <c r="F77" s="366"/>
      <c r="G77" s="366"/>
      <c r="H77" s="366"/>
      <c r="I77" s="366"/>
      <c r="J77" s="366"/>
      <c r="K77" s="366"/>
      <c r="L77" s="366"/>
    </row>
    <row r="78" spans="1:12">
      <c r="A78" s="504">
        <v>73</v>
      </c>
      <c r="B78" s="366"/>
      <c r="C78" s="366"/>
      <c r="D78" s="464"/>
      <c r="E78" s="366"/>
      <c r="F78" s="366"/>
      <c r="G78" s="366"/>
      <c r="H78" s="366"/>
      <c r="I78" s="366"/>
      <c r="J78" s="366"/>
      <c r="K78" s="366"/>
      <c r="L78" s="366"/>
    </row>
    <row r="79" spans="1:12">
      <c r="A79" s="504">
        <v>74</v>
      </c>
      <c r="B79" s="366"/>
      <c r="C79" s="366"/>
      <c r="D79" s="464"/>
      <c r="E79" s="366"/>
      <c r="F79" s="366"/>
      <c r="G79" s="366"/>
      <c r="H79" s="366"/>
      <c r="I79" s="366"/>
      <c r="J79" s="366"/>
      <c r="K79" s="366"/>
      <c r="L79" s="366"/>
    </row>
    <row r="80" spans="1:12">
      <c r="A80" s="504">
        <v>75</v>
      </c>
      <c r="B80" s="366"/>
      <c r="C80" s="366"/>
      <c r="D80" s="464"/>
      <c r="E80" s="366"/>
      <c r="F80" s="366"/>
      <c r="G80" s="366"/>
      <c r="H80" s="366"/>
      <c r="I80" s="366"/>
      <c r="J80" s="366"/>
      <c r="K80" s="366"/>
      <c r="L80" s="366"/>
    </row>
    <row r="81" spans="1:12">
      <c r="A81" s="504">
        <v>76</v>
      </c>
      <c r="B81" s="366"/>
      <c r="C81" s="366"/>
      <c r="D81" s="464"/>
      <c r="E81" s="366"/>
      <c r="F81" s="366"/>
      <c r="G81" s="366"/>
      <c r="H81" s="366"/>
      <c r="I81" s="366"/>
      <c r="J81" s="366"/>
      <c r="K81" s="366"/>
      <c r="L81" s="366"/>
    </row>
    <row r="82" spans="1:12">
      <c r="A82" s="504">
        <v>77</v>
      </c>
      <c r="B82" s="366"/>
      <c r="C82" s="366"/>
      <c r="D82" s="464"/>
      <c r="E82" s="366"/>
      <c r="F82" s="366"/>
      <c r="G82" s="366"/>
      <c r="H82" s="366"/>
      <c r="I82" s="366"/>
      <c r="J82" s="366"/>
      <c r="K82" s="366"/>
      <c r="L82" s="366"/>
    </row>
    <row r="83" spans="1:12">
      <c r="A83" s="504">
        <v>78</v>
      </c>
      <c r="B83" s="366"/>
      <c r="C83" s="366"/>
      <c r="D83" s="464"/>
      <c r="E83" s="366"/>
      <c r="F83" s="366"/>
      <c r="G83" s="366"/>
      <c r="H83" s="366"/>
      <c r="I83" s="366"/>
      <c r="J83" s="366"/>
      <c r="K83" s="366"/>
      <c r="L83" s="366"/>
    </row>
    <row r="84" spans="1:12">
      <c r="A84" s="504">
        <v>79</v>
      </c>
      <c r="B84" s="366"/>
      <c r="C84" s="366"/>
      <c r="D84" s="464"/>
      <c r="E84" s="366"/>
      <c r="F84" s="366"/>
      <c r="G84" s="366"/>
      <c r="H84" s="366"/>
      <c r="I84" s="366"/>
      <c r="J84" s="366"/>
      <c r="K84" s="366"/>
      <c r="L84" s="366"/>
    </row>
  </sheetData>
  <mergeCells count="1">
    <mergeCell ref="A1:G1"/>
  </mergeCells>
  <phoneticPr fontId="69" type="noConversion"/>
  <hyperlinks>
    <hyperlink ref="J13" r:id="rId1" xr:uid="{00000000-0004-0000-0100-000000000000}"/>
    <hyperlink ref="J19" r:id="rId2" xr:uid="{00000000-0004-0000-0100-000001000000}"/>
    <hyperlink ref="J22" r:id="rId3" xr:uid="{00000000-0004-0000-0100-000002000000}"/>
    <hyperlink ref="B30" r:id="rId4" display="https://www.tianyancha.com/company/1267058319" xr:uid="{00000000-0004-0000-0100-000003000000}"/>
    <hyperlink ref="J32" r:id="rId5" display="fan_hong@sinylon.com" xr:uid="{00000000-0004-0000-0100-000004000000}"/>
    <hyperlink ref="J37" r:id="rId6" xr:uid="{00000000-0004-0000-0100-000007000000}"/>
    <hyperlink ref="J38" r:id="rId7" xr:uid="{00000000-0004-0000-0100-000008000000}"/>
    <hyperlink ref="J40" r:id="rId8" xr:uid="{00000000-0004-0000-0100-000009000000}"/>
    <hyperlink ref="J26" r:id="rId9" xr:uid="{00000000-0004-0000-0100-00000C000000}"/>
    <hyperlink ref="J14" r:id="rId10" xr:uid="{00000000-0004-0000-0100-00000D000000}"/>
    <hyperlink ref="J48" r:id="rId11" xr:uid="{00000000-0004-0000-0100-000010000000}"/>
    <hyperlink ref="J47" r:id="rId12" xr:uid="{00000000-0004-0000-0100-000011000000}"/>
    <hyperlink ref="J46" r:id="rId13" xr:uid="{00000000-0004-0000-0100-000012000000}"/>
    <hyperlink ref="J25" r:id="rId14" xr:uid="{00000000-0004-0000-0100-000013000000}"/>
    <hyperlink ref="J50" r:id="rId15" xr:uid="{00000000-0004-0000-0100-000014000000}"/>
    <hyperlink ref="J51" r:id="rId16" xr:uid="{00000000-0004-0000-0100-000015000000}"/>
    <hyperlink ref="J28" r:id="rId17" xr:uid="{00000000-0004-0000-0100-000016000000}"/>
    <hyperlink ref="J20" r:id="rId18" xr:uid="{00000000-0004-0000-0100-000017000000}"/>
    <hyperlink ref="J58" r:id="rId19" display="liang.li@wfjyjt.com" xr:uid="{00000000-0004-0000-0100-000018000000}"/>
    <hyperlink ref="J66" r:id="rId20" xr:uid="{00000000-0004-0000-0100-000019000000}"/>
    <hyperlink ref="J65" r:id="rId21" display="yunfeng_sundy@163.com" xr:uid="{00000000-0004-0000-0100-00001A000000}"/>
    <hyperlink ref="J16" r:id="rId22" xr:uid="{00000000-0004-0000-0100-00001B000000}"/>
    <hyperlink ref="J73" r:id="rId23" tooltip="mailto:caokang@jiuyuansheng.cn" xr:uid="{1E49BCC5-D596-411A-B8F1-C6F8F15BF6C9}"/>
    <hyperlink ref="J23" r:id="rId24" xr:uid="{9F662B87-AF3F-4D61-9EE2-0EEE52907A1B}"/>
    <hyperlink ref="J36" r:id="rId25" xr:uid="{651894FA-CDE7-4927-849A-0C2E7D78F880}"/>
    <hyperlink ref="J35" r:id="rId26" xr:uid="{85F1B556-703A-4F6A-974B-70D4AA26B90A}"/>
    <hyperlink ref="J12" r:id="rId27" xr:uid="{67C6D6FB-3CE0-462A-A677-9556C6B3EF6E}"/>
    <hyperlink ref="J15" r:id="rId28" xr:uid="{33925282-7EEB-4B29-A6A4-CE0356F9B407}"/>
  </hyperlinks>
  <pageMargins left="0.7" right="0.7" top="0.75" bottom="0.75" header="0.3" footer="0.3"/>
  <pageSetup paperSize="9" scale="99" orientation="landscape" horizontalDpi="1200" verticalDpi="1200" r:id="rId29"/>
  <headerFooter>
    <oddHeader>&amp;L&amp;"Calibri"&amp;10&amp;K000000 INTERNAL&amp;1#_x000D_</oddHeader>
  </headerFooter>
  <tableParts count="1">
    <tablePart r:id="rId3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A7"/>
  <sheetViews>
    <sheetView workbookViewId="0">
      <selection sqref="A1:A4"/>
    </sheetView>
  </sheetViews>
  <sheetFormatPr defaultColWidth="9.1796875" defaultRowHeight="14.5"/>
  <sheetData>
    <row r="1" spans="1:1">
      <c r="A1" s="181" t="s">
        <v>39</v>
      </c>
    </row>
    <row r="2" spans="1:1">
      <c r="A2" s="181" t="s">
        <v>96</v>
      </c>
    </row>
    <row r="3" spans="1:1">
      <c r="A3" s="181" t="s">
        <v>18</v>
      </c>
    </row>
    <row r="4" spans="1:1">
      <c r="A4" s="181" t="s">
        <v>3756</v>
      </c>
    </row>
    <row r="6" spans="1:1">
      <c r="A6" s="3" t="s">
        <v>19</v>
      </c>
    </row>
    <row r="7" spans="1:1">
      <c r="A7" s="4" t="s">
        <v>59</v>
      </c>
    </row>
  </sheetData>
  <phoneticPr fontId="69" type="noConversion"/>
  <pageMargins left="0.7" right="0.7" top="0.75" bottom="0.75" header="0.3" footer="0.3"/>
  <headerFooter>
    <oddHeader>&amp;L&amp;"Calibri"&amp;10&amp;K000000 INTERNAL&amp;1#_x000D_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L232"/>
  <sheetViews>
    <sheetView topLeftCell="A204" zoomScale="55" zoomScaleNormal="55" workbookViewId="0">
      <selection activeCell="H90" sqref="H90"/>
    </sheetView>
  </sheetViews>
  <sheetFormatPr defaultColWidth="9.1796875" defaultRowHeight="14.5"/>
  <cols>
    <col min="1" max="1" width="16.453125" customWidth="1"/>
    <col min="2" max="3" width="21.453125" customWidth="1"/>
    <col min="4" max="4" width="27.1796875" customWidth="1"/>
    <col min="5" max="5" width="20.453125" customWidth="1"/>
    <col min="6" max="6" width="42.453125" customWidth="1"/>
    <col min="7" max="8" width="24.1796875" customWidth="1"/>
    <col min="9" max="10" width="35.1796875" customWidth="1"/>
    <col min="11" max="11" width="38.453125" customWidth="1"/>
    <col min="12" max="12" width="28.453125" customWidth="1"/>
  </cols>
  <sheetData>
    <row r="1" spans="1:12" ht="23.5">
      <c r="A1" s="591" t="s">
        <v>3757</v>
      </c>
      <c r="B1" s="591"/>
      <c r="C1" s="591"/>
      <c r="D1" s="591"/>
      <c r="E1" s="591"/>
      <c r="F1" s="591"/>
      <c r="G1" s="591"/>
      <c r="H1" s="591"/>
      <c r="I1" s="36"/>
      <c r="J1" s="36"/>
      <c r="K1" s="36"/>
      <c r="L1" s="36"/>
    </row>
    <row r="2" spans="1:12" ht="15.5">
      <c r="A2" s="423" t="s">
        <v>1</v>
      </c>
      <c r="B2" s="423" t="s">
        <v>3758</v>
      </c>
      <c r="C2" s="423" t="s">
        <v>3759</v>
      </c>
      <c r="D2" s="423" t="s">
        <v>3760</v>
      </c>
      <c r="E2" s="423" t="s">
        <v>3761</v>
      </c>
      <c r="F2" s="423" t="s">
        <v>3762</v>
      </c>
      <c r="G2" s="423" t="s">
        <v>9</v>
      </c>
      <c r="H2" s="423" t="s">
        <v>3763</v>
      </c>
      <c r="I2" s="181"/>
      <c r="J2" s="181"/>
      <c r="K2" s="181"/>
      <c r="L2" s="181"/>
    </row>
    <row r="3" spans="1:12">
      <c r="A3" s="365">
        <v>5</v>
      </c>
      <c r="B3" s="365" t="s">
        <v>3764</v>
      </c>
      <c r="C3" s="518" t="s">
        <v>3765</v>
      </c>
      <c r="D3" s="518" t="s">
        <v>3765</v>
      </c>
      <c r="E3" s="365" t="str">
        <f>Allg.!C7</f>
        <v>Ma Chengyun</v>
      </c>
      <c r="F3" s="365" t="str">
        <f>Allg.!F7</f>
        <v>茵铺锣（上海）自动化科技有限公司</v>
      </c>
      <c r="G3" s="519">
        <f>Allg.!I7</f>
        <v>43958</v>
      </c>
      <c r="H3" s="365"/>
      <c r="I3" s="181"/>
      <c r="J3" s="181"/>
      <c r="K3" s="181"/>
      <c r="L3" s="181"/>
    </row>
    <row r="4" spans="1:12">
      <c r="A4" s="365">
        <v>6</v>
      </c>
      <c r="B4" s="365" t="s">
        <v>3764</v>
      </c>
      <c r="C4" s="518" t="s">
        <v>3765</v>
      </c>
      <c r="D4" s="518" t="s">
        <v>3765</v>
      </c>
      <c r="E4" s="365" t="str">
        <f>Allg.!C8</f>
        <v>Yao Binbin</v>
      </c>
      <c r="F4" s="365" t="str">
        <f>Allg.!F8</f>
        <v>茵铺锣（上海）自动化科技有限公司</v>
      </c>
      <c r="G4" s="519">
        <f>Allg.!I8</f>
        <v>43958</v>
      </c>
      <c r="H4" s="365"/>
      <c r="I4" s="181"/>
      <c r="J4" s="181"/>
      <c r="K4" s="181"/>
      <c r="L4" s="181"/>
    </row>
    <row r="5" spans="1:12">
      <c r="A5" s="365">
        <v>7</v>
      </c>
      <c r="B5" s="365" t="s">
        <v>3764</v>
      </c>
      <c r="C5" s="518" t="s">
        <v>3765</v>
      </c>
      <c r="D5" s="518" t="s">
        <v>3765</v>
      </c>
      <c r="E5" s="365" t="str">
        <f>Allg.!C9</f>
        <v>Sarmiento, Juan</v>
      </c>
      <c r="F5" s="365" t="str">
        <f>Allg.!F9</f>
        <v>茵铺锣（上海）自动化科技有限公司</v>
      </c>
      <c r="G5" s="519">
        <f>Allg.!I9</f>
        <v>43958</v>
      </c>
      <c r="H5" s="365"/>
      <c r="I5" s="181"/>
      <c r="J5" s="181"/>
      <c r="K5" s="181"/>
      <c r="L5" s="181"/>
    </row>
    <row r="6" spans="1:12">
      <c r="A6" s="365">
        <v>8</v>
      </c>
      <c r="B6" s="365" t="s">
        <v>3764</v>
      </c>
      <c r="C6" s="518" t="s">
        <v>3765</v>
      </c>
      <c r="D6" s="518" t="s">
        <v>3765</v>
      </c>
      <c r="E6" s="365" t="str">
        <f>Allg.!C10</f>
        <v>Zheng Yin</v>
      </c>
      <c r="F6" s="365" t="str">
        <f>Allg.!F10</f>
        <v>茵铺锣（上海）自动化科技有限公司</v>
      </c>
      <c r="G6" s="519">
        <f>Allg.!I10</f>
        <v>43958</v>
      </c>
      <c r="H6" s="365"/>
      <c r="I6" s="181"/>
      <c r="J6" s="181"/>
      <c r="K6" s="181"/>
      <c r="L6" s="181"/>
    </row>
    <row r="7" spans="1:12">
      <c r="A7" s="365">
        <v>1</v>
      </c>
      <c r="B7" s="365" t="s">
        <v>3764</v>
      </c>
      <c r="C7" s="518" t="s">
        <v>3765</v>
      </c>
      <c r="D7" s="518" t="s">
        <v>3765</v>
      </c>
      <c r="E7" s="365" t="str">
        <f>Allg.!C3</f>
        <v>Zhang, Peng</v>
      </c>
      <c r="F7" s="365" t="str">
        <f>Allg.!F3</f>
        <v>茵铺锣（上海）自动化科技有限公司</v>
      </c>
      <c r="G7" s="519">
        <f>Allg.!I3</f>
        <v>43965</v>
      </c>
      <c r="H7" s="365"/>
      <c r="I7" s="181"/>
      <c r="J7" s="181"/>
      <c r="K7" s="181"/>
      <c r="L7" s="181"/>
    </row>
    <row r="8" spans="1:12">
      <c r="A8" s="365">
        <v>2</v>
      </c>
      <c r="B8" s="365" t="s">
        <v>3764</v>
      </c>
      <c r="C8" s="518" t="s">
        <v>3765</v>
      </c>
      <c r="D8" s="518" t="s">
        <v>3765</v>
      </c>
      <c r="E8" s="365" t="str">
        <f>Allg.!C4</f>
        <v>Zhang Shengji</v>
      </c>
      <c r="F8" s="365" t="str">
        <f>Allg.!F4</f>
        <v>茵铺锣（上海）自动化科技有限公司</v>
      </c>
      <c r="G8" s="519">
        <f>Allg.!I4</f>
        <v>43965</v>
      </c>
      <c r="H8" s="365"/>
      <c r="I8" s="181"/>
      <c r="J8" s="181"/>
      <c r="K8" s="181"/>
      <c r="L8" s="181"/>
    </row>
    <row r="9" spans="1:12">
      <c r="A9" s="365">
        <v>3</v>
      </c>
      <c r="B9" s="365" t="s">
        <v>3764</v>
      </c>
      <c r="C9" s="518" t="s">
        <v>3765</v>
      </c>
      <c r="D9" s="518" t="s">
        <v>3765</v>
      </c>
      <c r="E9" s="365" t="str">
        <f>Allg.!C5</f>
        <v>Zhou Lichao</v>
      </c>
      <c r="F9" s="365" t="str">
        <f>Allg.!F5</f>
        <v>茵铺锣（上海）自动化科技有限公司</v>
      </c>
      <c r="G9" s="519">
        <f>Allg.!I5</f>
        <v>43965</v>
      </c>
      <c r="H9" s="365"/>
      <c r="I9" s="181"/>
      <c r="J9" s="181"/>
      <c r="K9" s="181"/>
      <c r="L9" s="181"/>
    </row>
    <row r="10" spans="1:12">
      <c r="A10" s="365">
        <v>4</v>
      </c>
      <c r="B10" s="365" t="s">
        <v>3764</v>
      </c>
      <c r="C10" s="518" t="s">
        <v>3765</v>
      </c>
      <c r="D10" s="518" t="s">
        <v>3765</v>
      </c>
      <c r="E10" s="365" t="str">
        <f>Allg.!C6</f>
        <v>Johan Louw</v>
      </c>
      <c r="F10" s="365" t="str">
        <f>Allg.!F6</f>
        <v>茵铺锣（上海）自动化科技有限公司</v>
      </c>
      <c r="G10" s="519">
        <f>Allg.!I6</f>
        <v>43965</v>
      </c>
      <c r="H10" s="365"/>
      <c r="I10" s="181"/>
      <c r="J10" s="181"/>
      <c r="K10" s="181"/>
      <c r="L10" s="181"/>
    </row>
    <row r="11" spans="1:12">
      <c r="A11" s="365">
        <v>9</v>
      </c>
      <c r="B11" s="365"/>
      <c r="C11" s="364" t="s">
        <v>3765</v>
      </c>
      <c r="D11" s="518" t="s">
        <v>3765</v>
      </c>
      <c r="E11" s="365" t="str">
        <f>Allg.!C11</f>
        <v>Cai, Weili</v>
      </c>
      <c r="F11" s="365" t="str">
        <f>Allg.!F11</f>
        <v>上海悍蒙机电科技有限公司</v>
      </c>
      <c r="G11" s="519">
        <f>Allg.!I11</f>
        <v>44034</v>
      </c>
      <c r="H11" s="365"/>
      <c r="I11" s="181"/>
      <c r="J11" s="181"/>
      <c r="K11" s="181"/>
      <c r="L11" s="181"/>
    </row>
    <row r="12" spans="1:12">
      <c r="A12" s="365">
        <v>10</v>
      </c>
      <c r="B12" s="365"/>
      <c r="C12" s="364" t="s">
        <v>3765</v>
      </c>
      <c r="D12" s="518" t="s">
        <v>3765</v>
      </c>
      <c r="E12" s="365" t="str">
        <f>Allg.!C12</f>
        <v>Tao, Jingren</v>
      </c>
      <c r="F12" s="365" t="str">
        <f>Allg.!F12</f>
        <v>上海悍蒙机电科技有限公司</v>
      </c>
      <c r="G12" s="519">
        <f>Allg.!I12</f>
        <v>44034</v>
      </c>
      <c r="H12" s="365"/>
      <c r="I12" s="181"/>
      <c r="J12" s="181"/>
      <c r="K12" s="181"/>
      <c r="L12" s="181"/>
    </row>
    <row r="13" spans="1:12">
      <c r="A13" s="365">
        <v>11</v>
      </c>
      <c r="B13" s="365"/>
      <c r="C13" s="364" t="s">
        <v>3765</v>
      </c>
      <c r="D13" s="518" t="s">
        <v>3765</v>
      </c>
      <c r="E13" s="365" t="str">
        <f>Allg.!C13</f>
        <v>Zou, Luming</v>
      </c>
      <c r="F13" s="365" t="str">
        <f>Allg.!F13</f>
        <v>上海悍蒙机电科技有限公司</v>
      </c>
      <c r="G13" s="519">
        <f>Allg.!I13</f>
        <v>44034</v>
      </c>
      <c r="H13" s="365"/>
      <c r="I13" s="181"/>
      <c r="J13" s="181"/>
      <c r="K13" s="181"/>
      <c r="L13" s="181"/>
    </row>
    <row r="14" spans="1:12">
      <c r="A14" s="365">
        <v>12</v>
      </c>
      <c r="B14" s="365"/>
      <c r="C14" s="364" t="s">
        <v>3765</v>
      </c>
      <c r="D14" s="518" t="s">
        <v>3765</v>
      </c>
      <c r="E14" s="365" t="str">
        <f>Allg.!C14</f>
        <v>Guo, Defeng</v>
      </c>
      <c r="F14" s="365" t="str">
        <f>Allg.!F14</f>
        <v>上海悍蒙机电科技有限公司</v>
      </c>
      <c r="G14" s="519">
        <f>Allg.!I14</f>
        <v>44034</v>
      </c>
      <c r="H14" s="365"/>
      <c r="I14" s="181"/>
      <c r="J14" s="181"/>
      <c r="K14" s="181"/>
      <c r="L14" s="181"/>
    </row>
    <row r="15" spans="1:12">
      <c r="A15" s="365">
        <v>13</v>
      </c>
      <c r="B15" s="365"/>
      <c r="C15" s="364" t="s">
        <v>3765</v>
      </c>
      <c r="D15" s="518" t="s">
        <v>3765</v>
      </c>
      <c r="E15" s="365" t="str">
        <f>Allg.!C15</f>
        <v>Du, Sitao</v>
      </c>
      <c r="F15" s="365" t="str">
        <f>Allg.!F15</f>
        <v>上海悍蒙机电科技有限公司</v>
      </c>
      <c r="G15" s="519">
        <f>Allg.!I15</f>
        <v>44034</v>
      </c>
      <c r="H15" s="365"/>
      <c r="I15" s="181"/>
      <c r="J15" s="181"/>
      <c r="K15" s="181"/>
      <c r="L15" s="181"/>
    </row>
    <row r="16" spans="1:12">
      <c r="A16" s="365">
        <v>14</v>
      </c>
      <c r="B16" s="365"/>
      <c r="C16" s="364" t="s">
        <v>3765</v>
      </c>
      <c r="D16" s="518" t="s">
        <v>3765</v>
      </c>
      <c r="E16" s="365" t="str">
        <f>Allg.!C16</f>
        <v>Estrada Zatarain, Luis Ignacio</v>
      </c>
      <c r="F16" s="365" t="str">
        <f>Allg.!F16</f>
        <v>成都邦德联合自动化科技有限公司</v>
      </c>
      <c r="G16" s="519">
        <f>Allg.!I16</f>
        <v>44120</v>
      </c>
      <c r="H16" s="365"/>
      <c r="I16" s="181"/>
      <c r="J16" s="181"/>
      <c r="K16" s="181"/>
      <c r="L16" s="181"/>
    </row>
    <row r="17" spans="1:8">
      <c r="A17" s="365">
        <v>15</v>
      </c>
      <c r="B17" s="365" t="s">
        <v>3766</v>
      </c>
      <c r="C17" s="518" t="s">
        <v>3765</v>
      </c>
      <c r="D17" s="518" t="s">
        <v>3765</v>
      </c>
      <c r="E17" s="365" t="str">
        <f>Allg.!C17</f>
        <v>Guske, Stephan Paul</v>
      </c>
      <c r="F17" s="365" t="str">
        <f>Allg.!F17</f>
        <v>茵铺锣（上海）自动化科技有限公司</v>
      </c>
      <c r="G17" s="519">
        <f>Allg.!I17</f>
        <v>44120</v>
      </c>
      <c r="H17" s="365"/>
    </row>
    <row r="18" spans="1:8">
      <c r="A18" s="365">
        <v>16</v>
      </c>
      <c r="B18" s="365" t="s">
        <v>3767</v>
      </c>
      <c r="C18" s="364" t="s">
        <v>3765</v>
      </c>
      <c r="D18" s="518" t="s">
        <v>3768</v>
      </c>
      <c r="E18" s="435" t="str">
        <f>Allg.!C18</f>
        <v>Lv, Zhimin</v>
      </c>
      <c r="F18" s="365" t="str">
        <f>Allg.!F18</f>
        <v>利戴工业技术服务（上海）有限公司</v>
      </c>
      <c r="G18" s="519">
        <f>Allg.!I18</f>
        <v>44215</v>
      </c>
      <c r="H18" s="365"/>
    </row>
    <row r="19" spans="1:8">
      <c r="A19" s="365">
        <v>17</v>
      </c>
      <c r="B19" s="365" t="s">
        <v>3767</v>
      </c>
      <c r="C19" s="364" t="s">
        <v>3765</v>
      </c>
      <c r="D19" s="518" t="s">
        <v>3768</v>
      </c>
      <c r="E19" s="435" t="str">
        <f>Allg.!C19</f>
        <v>Wu, Chunlai</v>
      </c>
      <c r="F19" s="365" t="str">
        <f>Allg.!F19</f>
        <v>利戴工业技术服务（上海）有限公司</v>
      </c>
      <c r="G19" s="519">
        <f>Allg.!I19</f>
        <v>44215</v>
      </c>
      <c r="H19" s="365"/>
    </row>
    <row r="20" spans="1:8">
      <c r="A20" s="365">
        <v>18</v>
      </c>
      <c r="B20" s="365" t="s">
        <v>3767</v>
      </c>
      <c r="C20" s="364" t="s">
        <v>3765</v>
      </c>
      <c r="D20" s="518" t="s">
        <v>3768</v>
      </c>
      <c r="E20" s="435" t="str">
        <f>Allg.!C20</f>
        <v>Wu, Yuliang</v>
      </c>
      <c r="F20" s="365" t="str">
        <f>Allg.!F20</f>
        <v>利戴工业技术服务（上海）有限公司</v>
      </c>
      <c r="G20" s="519">
        <f>Allg.!I20</f>
        <v>44215</v>
      </c>
      <c r="H20" s="365"/>
    </row>
    <row r="21" spans="1:8">
      <c r="A21" s="365">
        <v>19</v>
      </c>
      <c r="B21" s="365" t="s">
        <v>3767</v>
      </c>
      <c r="C21" s="364" t="s">
        <v>3765</v>
      </c>
      <c r="D21" s="518" t="s">
        <v>3768</v>
      </c>
      <c r="E21" s="435" t="str">
        <f>Allg.!C21</f>
        <v>Zhou, Ganggang</v>
      </c>
      <c r="F21" s="365" t="str">
        <f>Allg.!F21</f>
        <v>利戴工业技术服务（上海）有限公司</v>
      </c>
      <c r="G21" s="519">
        <f>Allg.!I21</f>
        <v>44215</v>
      </c>
      <c r="H21" s="365"/>
    </row>
    <row r="22" spans="1:8">
      <c r="A22" s="365">
        <v>20</v>
      </c>
      <c r="B22" s="365" t="s">
        <v>3767</v>
      </c>
      <c r="C22" s="364" t="s">
        <v>3765</v>
      </c>
      <c r="D22" s="518" t="s">
        <v>3768</v>
      </c>
      <c r="E22" s="435" t="str">
        <f>Allg.!C22</f>
        <v>Zhou, Haolin</v>
      </c>
      <c r="F22" s="365" t="str">
        <f>Allg.!F22</f>
        <v>利戴工业技术服务（上海）有限公司</v>
      </c>
      <c r="G22" s="519">
        <f>Allg.!I22</f>
        <v>44215</v>
      </c>
      <c r="H22" s="365"/>
    </row>
    <row r="23" spans="1:8">
      <c r="A23" s="365">
        <v>21</v>
      </c>
      <c r="B23" s="365" t="s">
        <v>3767</v>
      </c>
      <c r="C23" s="364" t="s">
        <v>3765</v>
      </c>
      <c r="D23" s="518" t="s">
        <v>3768</v>
      </c>
      <c r="E23" s="435" t="str">
        <f>Allg.!C23</f>
        <v>Diao, Xiaotong</v>
      </c>
      <c r="F23" s="365" t="str">
        <f>Allg.!F23</f>
        <v>利戴工业技术服务（上海）有限公司</v>
      </c>
      <c r="G23" s="519">
        <f>Allg.!I23</f>
        <v>44215</v>
      </c>
      <c r="H23" s="365"/>
    </row>
    <row r="24" spans="1:8">
      <c r="A24" s="365">
        <v>22</v>
      </c>
      <c r="B24" s="365" t="s">
        <v>3767</v>
      </c>
      <c r="C24" s="364" t="s">
        <v>3765</v>
      </c>
      <c r="D24" s="518" t="s">
        <v>3768</v>
      </c>
      <c r="E24" s="435" t="str">
        <f>Allg.!C24</f>
        <v>Qiu,Libo</v>
      </c>
      <c r="F24" s="365" t="str">
        <f>Allg.!F24</f>
        <v>利戴工业技术服务（上海）有限公司</v>
      </c>
      <c r="G24" s="519">
        <f>Allg.!I24</f>
        <v>44215</v>
      </c>
      <c r="H24" s="365"/>
    </row>
    <row r="25" spans="1:8">
      <c r="A25" s="365">
        <v>23</v>
      </c>
      <c r="B25" s="365" t="s">
        <v>3767</v>
      </c>
      <c r="C25" s="364" t="s">
        <v>3765</v>
      </c>
      <c r="D25" s="518" t="s">
        <v>3768</v>
      </c>
      <c r="E25" s="435" t="str">
        <f>Allg.!C25</f>
        <v>Qu, Jingsen</v>
      </c>
      <c r="F25" s="365" t="str">
        <f>Allg.!F25</f>
        <v>利戴工业技术服务（上海）有限公司</v>
      </c>
      <c r="G25" s="519">
        <f>Allg.!I25</f>
        <v>44215</v>
      </c>
      <c r="H25" s="365"/>
    </row>
    <row r="26" spans="1:8">
      <c r="A26" s="365">
        <v>24</v>
      </c>
      <c r="B26" s="365" t="s">
        <v>3767</v>
      </c>
      <c r="C26" s="364" t="s">
        <v>3765</v>
      </c>
      <c r="D26" s="518" t="s">
        <v>3768</v>
      </c>
      <c r="E26" s="435" t="str">
        <f>Allg.!C26</f>
        <v>Zhang,Tianji</v>
      </c>
      <c r="F26" s="365" t="str">
        <f>Allg.!F26</f>
        <v>利戴工业技术服务（上海）有限公司</v>
      </c>
      <c r="G26" s="519">
        <f>Allg.!I26</f>
        <v>44215</v>
      </c>
      <c r="H26" s="365"/>
    </row>
    <row r="27" spans="1:8">
      <c r="A27" s="365">
        <v>25</v>
      </c>
      <c r="B27" s="365" t="s">
        <v>3767</v>
      </c>
      <c r="C27" s="364" t="s">
        <v>3765</v>
      </c>
      <c r="D27" s="518" t="s">
        <v>3768</v>
      </c>
      <c r="E27" s="435" t="str">
        <f>Allg.!C27</f>
        <v>He, Zhenchun</v>
      </c>
      <c r="F27" s="365" t="str">
        <f>Allg.!F27</f>
        <v>利戴工业技术服务（上海）有限公司</v>
      </c>
      <c r="G27" s="519">
        <f>Allg.!I27</f>
        <v>44215</v>
      </c>
      <c r="H27" s="365"/>
    </row>
    <row r="28" spans="1:8">
      <c r="A28" s="365">
        <v>26</v>
      </c>
      <c r="B28" s="365" t="s">
        <v>3767</v>
      </c>
      <c r="C28" s="364" t="s">
        <v>3765</v>
      </c>
      <c r="D28" s="518" t="s">
        <v>3768</v>
      </c>
      <c r="E28" s="435" t="str">
        <f>Allg.!C28</f>
        <v>Kong, Lingquan</v>
      </c>
      <c r="F28" s="365" t="str">
        <f>Allg.!F28</f>
        <v>利戴工业技术服务（上海）有限公司</v>
      </c>
      <c r="G28" s="519">
        <f>Allg.!I28</f>
        <v>44215</v>
      </c>
      <c r="H28" s="365"/>
    </row>
    <row r="29" spans="1:8">
      <c r="A29" s="365">
        <v>27</v>
      </c>
      <c r="B29" s="365" t="s">
        <v>3767</v>
      </c>
      <c r="C29" s="364" t="s">
        <v>3765</v>
      </c>
      <c r="D29" s="518" t="s">
        <v>3768</v>
      </c>
      <c r="E29" s="435" t="str">
        <f>Allg.!C29</f>
        <v>Tan, Shizhou</v>
      </c>
      <c r="F29" s="365" t="str">
        <f>Allg.!F29</f>
        <v>利戴工业技术服务（上海）有限公司</v>
      </c>
      <c r="G29" s="519">
        <f>Allg.!I29</f>
        <v>44215</v>
      </c>
      <c r="H29" s="365"/>
    </row>
    <row r="30" spans="1:8">
      <c r="A30" s="365">
        <v>28</v>
      </c>
      <c r="B30" s="365" t="s">
        <v>3767</v>
      </c>
      <c r="C30" s="364" t="s">
        <v>3765</v>
      </c>
      <c r="D30" s="518" t="s">
        <v>3768</v>
      </c>
      <c r="E30" s="435" t="str">
        <f>Allg.!C30</f>
        <v>Li, Xin</v>
      </c>
      <c r="F30" s="365" t="str">
        <f>Allg.!F30</f>
        <v>利戴工业技术服务（上海）有限公司</v>
      </c>
      <c r="G30" s="519">
        <f>Allg.!I30</f>
        <v>44215</v>
      </c>
      <c r="H30" s="365"/>
    </row>
    <row r="31" spans="1:8">
      <c r="A31" s="365">
        <v>29</v>
      </c>
      <c r="B31" s="365" t="s">
        <v>3767</v>
      </c>
      <c r="C31" s="364" t="s">
        <v>3765</v>
      </c>
      <c r="D31" s="518" t="s">
        <v>3768</v>
      </c>
      <c r="E31" s="435" t="str">
        <f>Allg.!C31</f>
        <v>Tang, Qi</v>
      </c>
      <c r="F31" s="365" t="str">
        <f>Allg.!F31</f>
        <v>利戴工业技术服务（上海）有限公司</v>
      </c>
      <c r="G31" s="519">
        <f>Allg.!I31</f>
        <v>44215</v>
      </c>
      <c r="H31" s="365"/>
    </row>
    <row r="32" spans="1:8">
      <c r="A32" s="365">
        <v>30</v>
      </c>
      <c r="B32" s="365" t="s">
        <v>3767</v>
      </c>
      <c r="C32" s="364" t="s">
        <v>3765</v>
      </c>
      <c r="D32" s="518" t="s">
        <v>3768</v>
      </c>
      <c r="E32" s="435" t="str">
        <f>Allg.!C32</f>
        <v>Yin, Xiankang</v>
      </c>
      <c r="F32" s="365" t="str">
        <f>Allg.!F32</f>
        <v>利戴工业技术服务（上海）有限公司</v>
      </c>
      <c r="G32" s="519">
        <f>Allg.!I32</f>
        <v>44215</v>
      </c>
      <c r="H32" s="365"/>
    </row>
    <row r="33" spans="1:8">
      <c r="A33" s="365">
        <v>31</v>
      </c>
      <c r="B33" s="365" t="s">
        <v>3767</v>
      </c>
      <c r="C33" s="364" t="s">
        <v>3765</v>
      </c>
      <c r="D33" s="518" t="s">
        <v>3768</v>
      </c>
      <c r="E33" s="435" t="str">
        <f>Allg.!C33</f>
        <v>Cao, Changjiu</v>
      </c>
      <c r="F33" s="365" t="str">
        <f>Allg.!F33</f>
        <v>利戴工业技术服务（上海）有限公司</v>
      </c>
      <c r="G33" s="519">
        <f>Allg.!I33</f>
        <v>44215</v>
      </c>
      <c r="H33" s="365"/>
    </row>
    <row r="34" spans="1:8">
      <c r="A34" s="365">
        <v>32</v>
      </c>
      <c r="B34" s="365" t="s">
        <v>3767</v>
      </c>
      <c r="C34" s="364" t="s">
        <v>3765</v>
      </c>
      <c r="D34" s="518" t="s">
        <v>3768</v>
      </c>
      <c r="E34" s="435" t="str">
        <f>Allg.!C34</f>
        <v>Li, Tengda</v>
      </c>
      <c r="F34" s="365" t="str">
        <f>Allg.!F34</f>
        <v>利戴工业技术服务（上海）有限公司</v>
      </c>
      <c r="G34" s="519">
        <f>Allg.!I34</f>
        <v>44215</v>
      </c>
      <c r="H34" s="365"/>
    </row>
    <row r="35" spans="1:8">
      <c r="A35" s="365">
        <v>33</v>
      </c>
      <c r="B35" s="365" t="s">
        <v>3767</v>
      </c>
      <c r="C35" s="364" t="s">
        <v>3765</v>
      </c>
      <c r="D35" s="518" t="s">
        <v>3768</v>
      </c>
      <c r="E35" s="435" t="str">
        <f>Allg.!C35</f>
        <v>Sheng, Fujian</v>
      </c>
      <c r="F35" s="365" t="str">
        <f>Allg.!F35</f>
        <v>利戴工业技术服务（上海）有限公司</v>
      </c>
      <c r="G35" s="519">
        <f>Allg.!I35</f>
        <v>44215</v>
      </c>
      <c r="H35" s="365"/>
    </row>
    <row r="36" spans="1:8">
      <c r="A36" s="365">
        <v>34</v>
      </c>
      <c r="B36" s="365" t="s">
        <v>3767</v>
      </c>
      <c r="C36" s="364" t="s">
        <v>3765</v>
      </c>
      <c r="D36" s="518" t="s">
        <v>3768</v>
      </c>
      <c r="E36" s="435" t="str">
        <f>Allg.!C36</f>
        <v>Song, Honghui</v>
      </c>
      <c r="F36" s="365" t="str">
        <f>Allg.!F36</f>
        <v>利戴工业技术服务（上海）有限公司</v>
      </c>
      <c r="G36" s="519">
        <f>Allg.!I36</f>
        <v>44215</v>
      </c>
      <c r="H36" s="365"/>
    </row>
    <row r="37" spans="1:8">
      <c r="A37" s="365">
        <v>35</v>
      </c>
      <c r="B37" s="365" t="s">
        <v>3767</v>
      </c>
      <c r="C37" s="364" t="s">
        <v>3765</v>
      </c>
      <c r="D37" s="518" t="s">
        <v>3768</v>
      </c>
      <c r="E37" s="435" t="str">
        <f>Allg.!C37</f>
        <v>Wang, Fujian</v>
      </c>
      <c r="F37" s="365" t="str">
        <f>Allg.!F37</f>
        <v>利戴工业技术服务（上海）有限公司</v>
      </c>
      <c r="G37" s="519">
        <f>Allg.!I37</f>
        <v>44215</v>
      </c>
      <c r="H37" s="365"/>
    </row>
    <row r="38" spans="1:8">
      <c r="A38" s="365">
        <v>36</v>
      </c>
      <c r="B38" s="365" t="s">
        <v>3767</v>
      </c>
      <c r="C38" s="364" t="s">
        <v>3765</v>
      </c>
      <c r="D38" s="518" t="s">
        <v>3768</v>
      </c>
      <c r="E38" s="435" t="str">
        <f>Allg.!C38</f>
        <v>Li, Jingeng</v>
      </c>
      <c r="F38" s="365" t="str">
        <f>Allg.!F38</f>
        <v>利戴工业技术服务（上海）有限公司</v>
      </c>
      <c r="G38" s="519">
        <f>Allg.!I38</f>
        <v>44215</v>
      </c>
      <c r="H38" s="365"/>
    </row>
    <row r="39" spans="1:8">
      <c r="A39" s="365">
        <v>37</v>
      </c>
      <c r="B39" s="365" t="s">
        <v>3769</v>
      </c>
      <c r="C39" s="364" t="s">
        <v>3765</v>
      </c>
      <c r="D39" s="518" t="s">
        <v>3768</v>
      </c>
      <c r="E39" s="435" t="str">
        <f>Allg.!C39</f>
        <v>Yu, Peng</v>
      </c>
      <c r="F39" s="365" t="str">
        <f>Allg.!F39</f>
        <v>上海悍蒙机电科技有限公司</v>
      </c>
      <c r="G39" s="519">
        <f>Allg.!I39</f>
        <v>44215</v>
      </c>
      <c r="H39" s="365"/>
    </row>
    <row r="40" spans="1:8">
      <c r="A40" s="365">
        <v>38</v>
      </c>
      <c r="B40" s="365" t="s">
        <v>3769</v>
      </c>
      <c r="C40" s="364" t="s">
        <v>3765</v>
      </c>
      <c r="D40" s="518" t="s">
        <v>3768</v>
      </c>
      <c r="E40" s="435" t="str">
        <f>Allg.!C40</f>
        <v>Jin, Chen</v>
      </c>
      <c r="F40" s="365" t="str">
        <f>Allg.!F40</f>
        <v>上海悍蒙机电科技有限公司</v>
      </c>
      <c r="G40" s="519">
        <f>Allg.!I40</f>
        <v>44215</v>
      </c>
      <c r="H40" s="365"/>
    </row>
    <row r="41" spans="1:8">
      <c r="A41" s="365">
        <v>39</v>
      </c>
      <c r="B41" s="365" t="s">
        <v>3769</v>
      </c>
      <c r="C41" s="364" t="s">
        <v>3765</v>
      </c>
      <c r="D41" s="518" t="s">
        <v>3768</v>
      </c>
      <c r="E41" s="435" t="str">
        <f>Allg.!C41</f>
        <v>Zhang, Qijia</v>
      </c>
      <c r="F41" s="365" t="str">
        <f>Allg.!F41</f>
        <v>上海悍蒙机电科技有限公司</v>
      </c>
      <c r="G41" s="519">
        <f>Allg.!I41</f>
        <v>44215</v>
      </c>
      <c r="H41" s="365"/>
    </row>
    <row r="42" spans="1:8">
      <c r="A42" s="365">
        <v>40</v>
      </c>
      <c r="B42" s="365" t="s">
        <v>3769</v>
      </c>
      <c r="C42" s="364" t="s">
        <v>3765</v>
      </c>
      <c r="D42" s="518" t="s">
        <v>3768</v>
      </c>
      <c r="E42" s="435" t="str">
        <f>Allg.!C42</f>
        <v>You, Min</v>
      </c>
      <c r="F42" s="365" t="str">
        <f>Allg.!F42</f>
        <v>上海悍蒙机电科技有限公司</v>
      </c>
      <c r="G42" s="520">
        <f>Allg.!I42</f>
        <v>44215</v>
      </c>
      <c r="H42" s="365" t="s">
        <v>3770</v>
      </c>
    </row>
    <row r="43" spans="1:8">
      <c r="A43" s="365">
        <v>41</v>
      </c>
      <c r="B43" s="365" t="s">
        <v>3769</v>
      </c>
      <c r="C43" s="364" t="s">
        <v>3765</v>
      </c>
      <c r="D43" s="518" t="s">
        <v>3768</v>
      </c>
      <c r="E43" s="435" t="str">
        <f>Allg.!C43</f>
        <v>Xu, Zhou</v>
      </c>
      <c r="F43" s="365" t="str">
        <f>Allg.!F43</f>
        <v>上海悍蒙机电科技有限公司</v>
      </c>
      <c r="G43" s="519">
        <f>Allg.!I43</f>
        <v>44215</v>
      </c>
      <c r="H43" s="365"/>
    </row>
    <row r="44" spans="1:8">
      <c r="A44" s="365">
        <v>42</v>
      </c>
      <c r="B44" s="365" t="s">
        <v>3769</v>
      </c>
      <c r="C44" s="364" t="s">
        <v>3765</v>
      </c>
      <c r="D44" s="518" t="s">
        <v>3768</v>
      </c>
      <c r="E44" s="435" t="str">
        <f>Allg.!C44</f>
        <v>Xing, Xin</v>
      </c>
      <c r="F44" s="365" t="str">
        <f>Allg.!F44</f>
        <v>上海悍蒙机电科技有限公司</v>
      </c>
      <c r="G44" s="519">
        <f>Allg.!I44</f>
        <v>44215</v>
      </c>
      <c r="H44" s="365"/>
    </row>
    <row r="45" spans="1:8">
      <c r="A45" s="365">
        <v>43</v>
      </c>
      <c r="B45" s="365" t="s">
        <v>3769</v>
      </c>
      <c r="C45" s="364" t="s">
        <v>3765</v>
      </c>
      <c r="D45" s="518" t="s">
        <v>3768</v>
      </c>
      <c r="E45" s="435" t="str">
        <f>Allg.!C45</f>
        <v>Wang, Haiyang</v>
      </c>
      <c r="F45" s="365" t="str">
        <f>Allg.!F45</f>
        <v>上海悍蒙机电科技有限公司</v>
      </c>
      <c r="G45" s="519">
        <f>Allg.!I45</f>
        <v>44215</v>
      </c>
      <c r="H45" s="365"/>
    </row>
    <row r="46" spans="1:8">
      <c r="A46" s="365">
        <v>44</v>
      </c>
      <c r="B46" s="365" t="s">
        <v>3769</v>
      </c>
      <c r="C46" s="364" t="s">
        <v>3765</v>
      </c>
      <c r="D46" s="518" t="s">
        <v>3768</v>
      </c>
      <c r="E46" s="435" t="str">
        <f>Allg.!C46</f>
        <v>Chen, Jiabing</v>
      </c>
      <c r="F46" s="365" t="str">
        <f>Allg.!F46</f>
        <v>上海悍蒙机电科技有限公司</v>
      </c>
      <c r="G46" s="519">
        <f>Allg.!I46</f>
        <v>44215</v>
      </c>
      <c r="H46" s="365"/>
    </row>
    <row r="47" spans="1:8">
      <c r="A47" s="365">
        <v>45</v>
      </c>
      <c r="B47" s="365" t="s">
        <v>3769</v>
      </c>
      <c r="C47" s="364" t="s">
        <v>3765</v>
      </c>
      <c r="D47" s="518" t="s">
        <v>3768</v>
      </c>
      <c r="E47" s="435" t="str">
        <f>Allg.!C47</f>
        <v>Li, Yi</v>
      </c>
      <c r="F47" s="365" t="str">
        <f>Allg.!F47</f>
        <v>上海悍蒙机电科技有限公司</v>
      </c>
      <c r="G47" s="519">
        <f>Allg.!I47</f>
        <v>44215</v>
      </c>
      <c r="H47" s="365"/>
    </row>
    <row r="48" spans="1:8">
      <c r="A48" s="365">
        <v>46</v>
      </c>
      <c r="B48" s="365" t="s">
        <v>3771</v>
      </c>
      <c r="C48" s="364" t="s">
        <v>3765</v>
      </c>
      <c r="D48" s="518" t="s">
        <v>3768</v>
      </c>
      <c r="E48" s="435" t="str">
        <f>Allg.!C48</f>
        <v>Li, Wenqiang</v>
      </c>
      <c r="F48" s="365" t="str">
        <f>Allg.!F48</f>
        <v>长春市和企自动化科技有限公司</v>
      </c>
      <c r="G48" s="519">
        <f>Allg.!I48</f>
        <v>44215</v>
      </c>
      <c r="H48" s="365"/>
    </row>
    <row r="49" spans="1:8">
      <c r="A49" s="365">
        <v>47</v>
      </c>
      <c r="B49" s="365" t="s">
        <v>3771</v>
      </c>
      <c r="C49" s="364" t="s">
        <v>3765</v>
      </c>
      <c r="D49" s="518" t="s">
        <v>3768</v>
      </c>
      <c r="E49" s="435" t="str">
        <f>Allg.!C49</f>
        <v>Zhong, Hao</v>
      </c>
      <c r="F49" s="365" t="str">
        <f>Allg.!F49</f>
        <v>长春市和企自动化科技有限公司</v>
      </c>
      <c r="G49" s="519">
        <f>Allg.!I49</f>
        <v>44215</v>
      </c>
      <c r="H49" s="365"/>
    </row>
    <row r="50" spans="1:8">
      <c r="A50" s="365">
        <v>48</v>
      </c>
      <c r="B50" s="365" t="s">
        <v>3767</v>
      </c>
      <c r="C50" s="364" t="s">
        <v>3765</v>
      </c>
      <c r="D50" s="518" t="s">
        <v>3768</v>
      </c>
      <c r="E50" s="435" t="str">
        <f>Allg.!C50</f>
        <v>Lv, Qingyang</v>
      </c>
      <c r="F50" s="365" t="str">
        <f>Allg.!F50</f>
        <v>利戴工业技术服务（上海）有限公司</v>
      </c>
      <c r="G50" s="519">
        <f>Allg.!I50</f>
        <v>44215</v>
      </c>
      <c r="H50" s="365"/>
    </row>
    <row r="51" spans="1:8">
      <c r="A51" s="365">
        <v>49</v>
      </c>
      <c r="B51" s="365" t="s">
        <v>3772</v>
      </c>
      <c r="C51" s="364" t="s">
        <v>3765</v>
      </c>
      <c r="D51" s="518" t="s">
        <v>3768</v>
      </c>
      <c r="E51" s="435" t="str">
        <f>Allg.!C51</f>
        <v>Yu, Xiaochuan</v>
      </c>
      <c r="F51" s="365" t="str">
        <f>Allg.!F51</f>
        <v>上海逸欣自动化设备有限公司</v>
      </c>
      <c r="G51" s="519">
        <f>Allg.!I51</f>
        <v>44215</v>
      </c>
      <c r="H51" s="365"/>
    </row>
    <row r="52" spans="1:8">
      <c r="A52" s="365">
        <v>50</v>
      </c>
      <c r="B52" s="365" t="s">
        <v>3772</v>
      </c>
      <c r="C52" s="364" t="s">
        <v>3765</v>
      </c>
      <c r="D52" s="518" t="s">
        <v>3768</v>
      </c>
      <c r="E52" s="435" t="str">
        <f>Allg.!C52</f>
        <v>Ling, Yong</v>
      </c>
      <c r="F52" s="365" t="str">
        <f>Allg.!F52</f>
        <v>上海逸欣自动化设备有限公司</v>
      </c>
      <c r="G52" s="519">
        <f>Allg.!I52</f>
        <v>44215</v>
      </c>
      <c r="H52" s="365"/>
    </row>
    <row r="53" spans="1:8">
      <c r="A53" s="365">
        <v>51</v>
      </c>
      <c r="B53" s="365" t="s">
        <v>3772</v>
      </c>
      <c r="C53" s="364" t="s">
        <v>3765</v>
      </c>
      <c r="D53" s="518" t="s">
        <v>3768</v>
      </c>
      <c r="E53" s="435" t="str">
        <f>Allg.!C53</f>
        <v>Han, Anle</v>
      </c>
      <c r="F53" s="365" t="str">
        <f>Allg.!F53</f>
        <v>上海逸欣自动化设备有限公司</v>
      </c>
      <c r="G53" s="519">
        <f>Allg.!I53</f>
        <v>44215</v>
      </c>
      <c r="H53" s="365"/>
    </row>
    <row r="54" spans="1:8">
      <c r="A54" s="365">
        <v>52</v>
      </c>
      <c r="B54" s="365" t="s">
        <v>3772</v>
      </c>
      <c r="C54" s="364" t="s">
        <v>3765</v>
      </c>
      <c r="D54" s="518" t="s">
        <v>3768</v>
      </c>
      <c r="E54" s="435" t="str">
        <f>Allg.!C54</f>
        <v>Gao, Lijie</v>
      </c>
      <c r="F54" s="365" t="str">
        <f>Allg.!F54</f>
        <v>上海逸欣自动化设备有限公司</v>
      </c>
      <c r="G54" s="519">
        <f>Allg.!I54</f>
        <v>44215</v>
      </c>
      <c r="H54" s="365"/>
    </row>
    <row r="55" spans="1:8">
      <c r="A55" s="365">
        <v>53</v>
      </c>
      <c r="B55" s="365" t="s">
        <v>3773</v>
      </c>
      <c r="C55" s="364" t="s">
        <v>3765</v>
      </c>
      <c r="D55" s="518" t="s">
        <v>3768</v>
      </c>
      <c r="E55" s="435" t="str">
        <f>Allg.!C55</f>
        <v>Tan, Tianyuan</v>
      </c>
      <c r="F55" s="365" t="str">
        <f>Allg.!F55</f>
        <v>上海逸欣自动化设备有限公司</v>
      </c>
      <c r="G55" s="519">
        <f>Allg.!I55</f>
        <v>44215</v>
      </c>
      <c r="H55" s="365"/>
    </row>
    <row r="56" spans="1:8">
      <c r="A56" s="365">
        <v>54</v>
      </c>
      <c r="B56" s="365" t="s">
        <v>3773</v>
      </c>
      <c r="C56" s="364" t="s">
        <v>3765</v>
      </c>
      <c r="D56" s="518" t="s">
        <v>3768</v>
      </c>
      <c r="E56" s="435" t="str">
        <f>Allg.!C56</f>
        <v>Li, Wenbin</v>
      </c>
      <c r="F56" s="365" t="str">
        <f>Allg.!F56</f>
        <v>上海祈德机电设备有限公司</v>
      </c>
      <c r="G56" s="519">
        <f>Allg.!I56</f>
        <v>44215</v>
      </c>
      <c r="H56" s="365"/>
    </row>
    <row r="57" spans="1:8">
      <c r="A57" s="365">
        <v>55</v>
      </c>
      <c r="B57" s="365" t="s">
        <v>3773</v>
      </c>
      <c r="C57" s="364" t="s">
        <v>3765</v>
      </c>
      <c r="D57" s="518" t="s">
        <v>3768</v>
      </c>
      <c r="E57" s="435" t="str">
        <f>Allg.!C57</f>
        <v>Lin, Qi</v>
      </c>
      <c r="F57" s="365" t="str">
        <f>Allg.!F57</f>
        <v>上海祈德机电设备有限公司</v>
      </c>
      <c r="G57" s="519">
        <f>Allg.!I57</f>
        <v>44215</v>
      </c>
      <c r="H57" s="365"/>
    </row>
    <row r="58" spans="1:8">
      <c r="A58" s="365">
        <v>56</v>
      </c>
      <c r="B58" s="365" t="s">
        <v>3773</v>
      </c>
      <c r="C58" s="364" t="s">
        <v>3765</v>
      </c>
      <c r="D58" s="518" t="s">
        <v>3768</v>
      </c>
      <c r="E58" s="435" t="str">
        <f>Allg.!C58</f>
        <v>Su, Xiangdong</v>
      </c>
      <c r="F58" s="365" t="str">
        <f>Allg.!F58</f>
        <v>上海祈德机电设备有限公司</v>
      </c>
      <c r="G58" s="519">
        <f>Allg.!I58</f>
        <v>44215</v>
      </c>
      <c r="H58" s="365"/>
    </row>
    <row r="59" spans="1:8">
      <c r="A59" s="365">
        <v>57</v>
      </c>
      <c r="B59" s="365" t="s">
        <v>3773</v>
      </c>
      <c r="C59" s="364" t="s">
        <v>3765</v>
      </c>
      <c r="D59" s="518" t="s">
        <v>3768</v>
      </c>
      <c r="E59" s="435" t="str">
        <f>Allg.!C59</f>
        <v>Sun, Manman</v>
      </c>
      <c r="F59" s="365" t="str">
        <f>Allg.!F59</f>
        <v>上海祈德机电设备有限公司</v>
      </c>
      <c r="G59" s="519">
        <f>Allg.!I59</f>
        <v>44215</v>
      </c>
      <c r="H59" s="365"/>
    </row>
    <row r="60" spans="1:8">
      <c r="A60" s="365">
        <v>58</v>
      </c>
      <c r="B60" s="365" t="s">
        <v>3774</v>
      </c>
      <c r="C60" s="364" t="s">
        <v>3765</v>
      </c>
      <c r="D60" s="365"/>
      <c r="E60" s="435" t="str">
        <f>Allg.!C60</f>
        <v>Lan, Hongrui</v>
      </c>
      <c r="F60" s="365" t="str">
        <f>Allg.!F60</f>
        <v>上海科自自动化科技有限公司</v>
      </c>
      <c r="G60" s="519">
        <f>Allg.!I60</f>
        <v>44313</v>
      </c>
      <c r="H60" s="365"/>
    </row>
    <row r="61" spans="1:8">
      <c r="A61" s="365">
        <v>59</v>
      </c>
      <c r="B61" s="365" t="s">
        <v>3774</v>
      </c>
      <c r="C61" s="364" t="s">
        <v>3765</v>
      </c>
      <c r="D61" s="365"/>
      <c r="E61" s="435" t="str">
        <f>Allg.!C61</f>
        <v>Zhu, Ming</v>
      </c>
      <c r="F61" s="365" t="str">
        <f>Allg.!F61</f>
        <v>上海科自自动化科技有限公司</v>
      </c>
      <c r="G61" s="519">
        <f>Allg.!I61</f>
        <v>44313</v>
      </c>
      <c r="H61" s="181"/>
    </row>
    <row r="62" spans="1:8">
      <c r="A62" s="365">
        <v>60</v>
      </c>
      <c r="B62" s="365" t="s">
        <v>3774</v>
      </c>
      <c r="C62" s="364" t="s">
        <v>3765</v>
      </c>
      <c r="D62" s="365"/>
      <c r="E62" s="435" t="str">
        <f>Allg.!C62</f>
        <v>Zhu,Yan</v>
      </c>
      <c r="F62" s="365" t="str">
        <f>Allg.!F62</f>
        <v>上海科自自动化科技有限公司</v>
      </c>
      <c r="G62" s="519">
        <f>Allg.!I62</f>
        <v>44313</v>
      </c>
      <c r="H62" s="181"/>
    </row>
    <row r="63" spans="1:8">
      <c r="A63" s="365">
        <v>61</v>
      </c>
      <c r="B63" s="365" t="s">
        <v>3774</v>
      </c>
      <c r="C63" s="364" t="s">
        <v>3765</v>
      </c>
      <c r="D63" s="365"/>
      <c r="E63" s="435" t="str">
        <f>Allg.!C63</f>
        <v>Wang, Chong</v>
      </c>
      <c r="F63" s="365" t="str">
        <f>Allg.!F63</f>
        <v>上海科自自动化科技有限公司</v>
      </c>
      <c r="G63" s="519">
        <f>Allg.!I63</f>
        <v>44313</v>
      </c>
      <c r="H63" s="181"/>
    </row>
    <row r="64" spans="1:8">
      <c r="A64" s="365">
        <v>62</v>
      </c>
      <c r="B64" s="365" t="s">
        <v>3774</v>
      </c>
      <c r="C64" s="364" t="s">
        <v>3765</v>
      </c>
      <c r="D64" s="365"/>
      <c r="E64" s="435" t="str">
        <f>Allg.!C64</f>
        <v>Zhang, Qingyun</v>
      </c>
      <c r="F64" s="365" t="str">
        <f>Allg.!F64</f>
        <v>上海科自自动化科技有限公司</v>
      </c>
      <c r="G64" s="519">
        <f>Allg.!I64</f>
        <v>44313</v>
      </c>
      <c r="H64" s="181"/>
    </row>
    <row r="65" spans="1:7">
      <c r="A65" s="365">
        <v>63</v>
      </c>
      <c r="B65" s="365" t="s">
        <v>3774</v>
      </c>
      <c r="C65" s="364" t="s">
        <v>3765</v>
      </c>
      <c r="D65" s="365"/>
      <c r="E65" s="435" t="str">
        <f>Allg.!C65</f>
        <v>Sun, Hongyu</v>
      </c>
      <c r="F65" s="365" t="str">
        <f>Allg.!F65</f>
        <v>上海科自自动化科技有限公司</v>
      </c>
      <c r="G65" s="519">
        <f>Allg.!I65</f>
        <v>44313</v>
      </c>
    </row>
    <row r="66" spans="1:7">
      <c r="A66" s="365">
        <v>64</v>
      </c>
      <c r="B66" s="365" t="s">
        <v>3775</v>
      </c>
      <c r="C66" s="364" t="s">
        <v>3765</v>
      </c>
      <c r="D66" s="365"/>
      <c r="E66" s="435" t="str">
        <f>Allg.!C66</f>
        <v>Guan, Zhidong</v>
      </c>
      <c r="F66" s="365" t="str">
        <f>Allg.!F66</f>
        <v>司徒雅诺夫测量控制及电器技术（长春）有限公司</v>
      </c>
      <c r="G66" s="519">
        <f>Allg.!I66</f>
        <v>44314</v>
      </c>
    </row>
    <row r="67" spans="1:7">
      <c r="A67" s="365">
        <v>65</v>
      </c>
      <c r="B67" s="365" t="s">
        <v>3775</v>
      </c>
      <c r="C67" s="364" t="s">
        <v>3765</v>
      </c>
      <c r="D67" s="365"/>
      <c r="E67" s="435" t="str">
        <f>Allg.!C67</f>
        <v>Wang, Cong</v>
      </c>
      <c r="F67" s="365" t="str">
        <f>Allg.!F67</f>
        <v>司徒雅诺夫测量控制及电器技术（长春）有限公司</v>
      </c>
      <c r="G67" s="519">
        <f>Allg.!I67</f>
        <v>44314</v>
      </c>
    </row>
    <row r="68" spans="1:7">
      <c r="A68" s="365">
        <v>66</v>
      </c>
      <c r="B68" s="365" t="s">
        <v>3775</v>
      </c>
      <c r="C68" s="364" t="s">
        <v>3765</v>
      </c>
      <c r="D68" s="365"/>
      <c r="E68" s="435" t="str">
        <f>Allg.!C68</f>
        <v>Dong, Ying</v>
      </c>
      <c r="F68" s="365" t="str">
        <f>Allg.!F68</f>
        <v>司徒雅诺夫测量控制及电器技术（长春）有限公司</v>
      </c>
      <c r="G68" s="519">
        <f>Allg.!I68</f>
        <v>44313</v>
      </c>
    </row>
    <row r="69" spans="1:7">
      <c r="A69" s="365">
        <v>67</v>
      </c>
      <c r="B69" s="365" t="s">
        <v>3775</v>
      </c>
      <c r="C69" s="364" t="s">
        <v>3765</v>
      </c>
      <c r="D69" s="365"/>
      <c r="E69" s="435" t="str">
        <f>Allg.!C69</f>
        <v>Chang, Xueliang</v>
      </c>
      <c r="F69" s="365" t="str">
        <f>Allg.!F69</f>
        <v>司徒雅诺夫测量控制及电器技术（长春）有限公司</v>
      </c>
      <c r="G69" s="519">
        <f>Allg.!I69</f>
        <v>44313</v>
      </c>
    </row>
    <row r="70" spans="1:7">
      <c r="A70" s="365">
        <v>68</v>
      </c>
      <c r="B70" s="365" t="s">
        <v>3775</v>
      </c>
      <c r="C70" s="364" t="s">
        <v>3765</v>
      </c>
      <c r="D70" s="365"/>
      <c r="E70" s="435" t="str">
        <f>Allg.!C70</f>
        <v>Wu, Zongke</v>
      </c>
      <c r="F70" s="365" t="str">
        <f>Allg.!F70</f>
        <v>司徒雅诺夫测量控制及电器技术（长春）有限公司</v>
      </c>
      <c r="G70" s="519">
        <f>Allg.!I70</f>
        <v>44313</v>
      </c>
    </row>
    <row r="71" spans="1:7">
      <c r="A71" s="365">
        <v>69</v>
      </c>
      <c r="B71" s="365" t="s">
        <v>3776</v>
      </c>
      <c r="C71" s="364" t="s">
        <v>3765</v>
      </c>
      <c r="D71" s="365"/>
      <c r="E71" s="435" t="str">
        <f>Allg.!C71</f>
        <v>Liu, Hongda</v>
      </c>
      <c r="F71" s="365" t="str">
        <f>Allg.!F71</f>
        <v>利戴工业技术服务（上海）有限公司</v>
      </c>
      <c r="G71" s="519">
        <f>Allg.!I71</f>
        <v>44314</v>
      </c>
    </row>
    <row r="72" spans="1:7">
      <c r="A72" s="365">
        <v>70</v>
      </c>
      <c r="B72" s="365" t="s">
        <v>3776</v>
      </c>
      <c r="C72" s="364" t="s">
        <v>3765</v>
      </c>
      <c r="D72" s="365"/>
      <c r="E72" s="435" t="str">
        <f>Allg.!C72</f>
        <v>Sheng, Fujian</v>
      </c>
      <c r="F72" s="365" t="str">
        <f>Allg.!F72</f>
        <v>利戴工业技术服务（上海）有限公司</v>
      </c>
      <c r="G72" s="519">
        <f>Allg.!I72</f>
        <v>44314</v>
      </c>
    </row>
    <row r="73" spans="1:7">
      <c r="A73" s="365">
        <v>71</v>
      </c>
      <c r="B73" s="365" t="s">
        <v>3776</v>
      </c>
      <c r="C73" s="364" t="s">
        <v>3765</v>
      </c>
      <c r="D73" s="365"/>
      <c r="E73" s="435" t="str">
        <f>Allg.!C73</f>
        <v>Zhang, Xuwen</v>
      </c>
      <c r="F73" s="365" t="str">
        <f>Allg.!F73</f>
        <v>利戴工业技术服务（上海）有限公司</v>
      </c>
      <c r="G73" s="519">
        <f>Allg.!I73</f>
        <v>44314</v>
      </c>
    </row>
    <row r="74" spans="1:7">
      <c r="A74" s="365">
        <v>72</v>
      </c>
      <c r="B74" s="365" t="s">
        <v>3776</v>
      </c>
      <c r="C74" s="364" t="s">
        <v>3765</v>
      </c>
      <c r="D74" s="365"/>
      <c r="E74" s="435" t="str">
        <f>Allg.!C74</f>
        <v>Li, Hai</v>
      </c>
      <c r="F74" s="365" t="str">
        <f>Allg.!F74</f>
        <v>利戴工业技术服务（上海）有限公司</v>
      </c>
      <c r="G74" s="519">
        <f>Allg.!I74</f>
        <v>44313</v>
      </c>
    </row>
    <row r="75" spans="1:7">
      <c r="A75" s="365">
        <v>73</v>
      </c>
      <c r="B75" s="365" t="s">
        <v>3776</v>
      </c>
      <c r="C75" s="364" t="s">
        <v>3765</v>
      </c>
      <c r="D75" s="365"/>
      <c r="E75" s="435" t="str">
        <f>Allg.!C75</f>
        <v xml:space="preserve">Li, Shouxue </v>
      </c>
      <c r="F75" s="365" t="str">
        <f>Allg.!F75</f>
        <v>利戴工业技术服务（上海）有限公司</v>
      </c>
      <c r="G75" s="519">
        <f>Allg.!I75</f>
        <v>44313</v>
      </c>
    </row>
    <row r="76" spans="1:7">
      <c r="A76" s="365">
        <v>74</v>
      </c>
      <c r="B76" s="365" t="s">
        <v>3777</v>
      </c>
      <c r="C76" s="364" t="s">
        <v>3765</v>
      </c>
      <c r="D76" s="365"/>
      <c r="E76" s="435" t="str">
        <f>Allg.!C76</f>
        <v>Zhao, Yu</v>
      </c>
      <c r="F76" s="365" t="str">
        <f>Allg.!F76</f>
        <v>一汽模具制造有限公司</v>
      </c>
      <c r="G76" s="519">
        <f>Allg.!I76</f>
        <v>44313</v>
      </c>
    </row>
    <row r="77" spans="1:7">
      <c r="A77" s="365">
        <v>75</v>
      </c>
      <c r="B77" s="365" t="s">
        <v>3777</v>
      </c>
      <c r="C77" s="364" t="s">
        <v>3765</v>
      </c>
      <c r="D77" s="365"/>
      <c r="E77" s="435" t="str">
        <f>Allg.!C77</f>
        <v>Liu, Xiaodong</v>
      </c>
      <c r="F77" s="365" t="str">
        <f>Allg.!F77</f>
        <v>一汽模具制造有限公司</v>
      </c>
      <c r="G77" s="519">
        <f>Allg.!I77</f>
        <v>44313</v>
      </c>
    </row>
    <row r="78" spans="1:7">
      <c r="A78" s="365">
        <v>76</v>
      </c>
      <c r="B78" s="365" t="s">
        <v>3777</v>
      </c>
      <c r="C78" s="364" t="s">
        <v>3765</v>
      </c>
      <c r="D78" s="365"/>
      <c r="E78" s="435" t="str">
        <f>Allg.!C78</f>
        <v>Xiu, Yu</v>
      </c>
      <c r="F78" s="365" t="str">
        <f>Allg.!F78</f>
        <v>一汽模具制造有限公司</v>
      </c>
      <c r="G78" s="519">
        <f>Allg.!I78</f>
        <v>44313</v>
      </c>
    </row>
    <row r="79" spans="1:7">
      <c r="A79" s="365">
        <v>77</v>
      </c>
      <c r="B79" s="365" t="s">
        <v>3778</v>
      </c>
      <c r="C79" s="364" t="s">
        <v>3765</v>
      </c>
      <c r="D79" s="365"/>
      <c r="E79" s="435" t="str">
        <f>Allg.!C79</f>
        <v>Sun, Peifu</v>
      </c>
      <c r="F79" s="365" t="str">
        <f>Allg.!F79</f>
        <v>上海九源晟自动化有限公司</v>
      </c>
      <c r="G79" s="519">
        <f>Allg.!I79</f>
        <v>44313</v>
      </c>
    </row>
    <row r="80" spans="1:7">
      <c r="A80" s="365">
        <v>78</v>
      </c>
      <c r="B80" s="365" t="s">
        <v>3778</v>
      </c>
      <c r="C80" s="364" t="s">
        <v>3765</v>
      </c>
      <c r="D80" s="365"/>
      <c r="E80" s="435" t="str">
        <f>Allg.!C80</f>
        <v>Sun, Cien</v>
      </c>
      <c r="F80" s="365" t="str">
        <f>Allg.!F80</f>
        <v>上海九源晟自动化有限公司</v>
      </c>
      <c r="G80" s="519">
        <f>Allg.!I80</f>
        <v>44313</v>
      </c>
    </row>
    <row r="81" spans="1:7">
      <c r="A81" s="365">
        <v>79</v>
      </c>
      <c r="B81" s="365" t="s">
        <v>3778</v>
      </c>
      <c r="C81" s="364" t="s">
        <v>3765</v>
      </c>
      <c r="D81" s="365"/>
      <c r="E81" s="435" t="str">
        <f>Allg.!C81</f>
        <v>Gu, Huanyu</v>
      </c>
      <c r="F81" s="365" t="str">
        <f>Allg.!F81</f>
        <v>上海九源晟自动化有限公司</v>
      </c>
      <c r="G81" s="519">
        <f>Allg.!I81</f>
        <v>44313</v>
      </c>
    </row>
    <row r="82" spans="1:7">
      <c r="A82" s="365">
        <v>80</v>
      </c>
      <c r="B82" s="365" t="s">
        <v>3778</v>
      </c>
      <c r="C82" s="364" t="s">
        <v>3765</v>
      </c>
      <c r="D82" s="365"/>
      <c r="E82" s="435" t="str">
        <f>Allg.!C82</f>
        <v>Zhuang, Zheng</v>
      </c>
      <c r="F82" s="365" t="str">
        <f>Allg.!F82</f>
        <v>上海九源晟自动化有限公司</v>
      </c>
      <c r="G82" s="519">
        <f>Allg.!I82</f>
        <v>44313</v>
      </c>
    </row>
    <row r="83" spans="1:7">
      <c r="A83" s="365">
        <v>81</v>
      </c>
      <c r="B83" s="365" t="s">
        <v>3778</v>
      </c>
      <c r="C83" s="364" t="s">
        <v>3765</v>
      </c>
      <c r="D83" s="365"/>
      <c r="E83" s="435" t="str">
        <f>Allg.!C83</f>
        <v>Chen, Liqing</v>
      </c>
      <c r="F83" s="365" t="str">
        <f>Allg.!F83</f>
        <v>上海九源晟自动化有限公司</v>
      </c>
      <c r="G83" s="519">
        <f>Allg.!I83</f>
        <v>44313</v>
      </c>
    </row>
    <row r="84" spans="1:7">
      <c r="A84" s="365">
        <v>82</v>
      </c>
      <c r="B84" s="365" t="s">
        <v>3778</v>
      </c>
      <c r="C84" s="364" t="s">
        <v>3765</v>
      </c>
      <c r="D84" s="365"/>
      <c r="E84" s="435" t="str">
        <f>Allg.!C84</f>
        <v>Zhou, Jie</v>
      </c>
      <c r="F84" s="365" t="str">
        <f>Allg.!F84</f>
        <v>上海九源晟自动化有限公司</v>
      </c>
      <c r="G84" s="519">
        <f>Allg.!I84</f>
        <v>44313</v>
      </c>
    </row>
    <row r="85" spans="1:7">
      <c r="A85" s="365">
        <v>83</v>
      </c>
      <c r="B85" s="365" t="s">
        <v>3778</v>
      </c>
      <c r="C85" s="364" t="s">
        <v>3765</v>
      </c>
      <c r="D85" s="365"/>
      <c r="E85" s="435" t="str">
        <f>Allg.!C85</f>
        <v>Ren, Haixin</v>
      </c>
      <c r="F85" s="365" t="str">
        <f>Allg.!F85</f>
        <v>上海九源晟自动化有限公司</v>
      </c>
      <c r="G85" s="519">
        <f>Allg.!I85</f>
        <v>44313</v>
      </c>
    </row>
    <row r="86" spans="1:7">
      <c r="A86" s="365">
        <v>84</v>
      </c>
      <c r="B86" s="365" t="s">
        <v>3778</v>
      </c>
      <c r="C86" s="364" t="s">
        <v>3765</v>
      </c>
      <c r="D86" s="365"/>
      <c r="E86" s="435" t="str">
        <f>Allg.!C86</f>
        <v>Zhang, Chi</v>
      </c>
      <c r="F86" s="365" t="str">
        <f>Allg.!F86</f>
        <v>上海九源晟自动化有限公司</v>
      </c>
      <c r="G86" s="519">
        <f>Allg.!I86</f>
        <v>44313</v>
      </c>
    </row>
    <row r="87" spans="1:7">
      <c r="A87" s="365">
        <v>85</v>
      </c>
      <c r="B87" s="365" t="s">
        <v>3778</v>
      </c>
      <c r="C87" s="364" t="s">
        <v>3765</v>
      </c>
      <c r="D87" s="365"/>
      <c r="E87" s="435" t="str">
        <f>Allg.!C87</f>
        <v>Huang, Xiangyang</v>
      </c>
      <c r="F87" s="365" t="str">
        <f>Allg.!F87</f>
        <v>上海九源晟自动化有限公司</v>
      </c>
      <c r="G87" s="519">
        <f>Allg.!I87</f>
        <v>44314</v>
      </c>
    </row>
    <row r="88" spans="1:7">
      <c r="A88" s="365">
        <v>86</v>
      </c>
      <c r="B88" s="365" t="s">
        <v>3778</v>
      </c>
      <c r="C88" s="364" t="s">
        <v>3765</v>
      </c>
      <c r="D88" s="365"/>
      <c r="E88" s="435" t="str">
        <f>Allg.!C88</f>
        <v>Li, Jinpeng</v>
      </c>
      <c r="F88" s="365" t="str">
        <f>Allg.!F88</f>
        <v>上海九源晟自动化有限公司</v>
      </c>
      <c r="G88" s="519">
        <f>Allg.!I88</f>
        <v>44314</v>
      </c>
    </row>
    <row r="89" spans="1:7">
      <c r="A89" s="365">
        <v>87</v>
      </c>
      <c r="B89" s="365" t="s">
        <v>3778</v>
      </c>
      <c r="C89" s="364" t="s">
        <v>3765</v>
      </c>
      <c r="D89" s="365"/>
      <c r="E89" s="435" t="str">
        <f>Allg.!C89</f>
        <v>Huang, Xiaofei</v>
      </c>
      <c r="F89" s="365" t="str">
        <f>Allg.!F89</f>
        <v>上海九源晟自动化有限公司</v>
      </c>
      <c r="G89" s="519">
        <f>Allg.!I89</f>
        <v>44314</v>
      </c>
    </row>
    <row r="90" spans="1:7">
      <c r="A90" s="365">
        <v>88</v>
      </c>
      <c r="B90" s="365" t="s">
        <v>3778</v>
      </c>
      <c r="C90" s="364" t="s">
        <v>3765</v>
      </c>
      <c r="D90" s="365"/>
      <c r="E90" s="435" t="str">
        <f>Allg.!C90</f>
        <v>Wu, Yifan</v>
      </c>
      <c r="F90" s="365" t="str">
        <f>Allg.!F90</f>
        <v>上海九源晟自动化有限公司</v>
      </c>
      <c r="G90" s="519">
        <f>Allg.!I90</f>
        <v>44314</v>
      </c>
    </row>
    <row r="91" spans="1:7">
      <c r="A91" s="365">
        <v>89</v>
      </c>
      <c r="B91" s="365" t="s">
        <v>3778</v>
      </c>
      <c r="C91" s="364" t="s">
        <v>3765</v>
      </c>
      <c r="D91" s="365"/>
      <c r="E91" s="435" t="str">
        <f>Allg.!C91</f>
        <v>Sun, Yunchuan</v>
      </c>
      <c r="F91" s="365" t="str">
        <f>Allg.!F91</f>
        <v>上海九源晟自动化有限公司</v>
      </c>
      <c r="G91" s="519">
        <f>Allg.!I91</f>
        <v>44314</v>
      </c>
    </row>
    <row r="92" spans="1:7">
      <c r="A92" s="365">
        <v>90</v>
      </c>
      <c r="B92" s="365" t="s">
        <v>3779</v>
      </c>
      <c r="C92" s="364" t="s">
        <v>3765</v>
      </c>
      <c r="D92" s="365"/>
      <c r="E92" s="435" t="str">
        <f>Allg.!C92</f>
        <v>Du, Lin</v>
      </c>
      <c r="F92" s="365" t="str">
        <f>Allg.!F92</f>
        <v>埃伏斯智能科技（上海）有限公司</v>
      </c>
      <c r="G92" s="519">
        <f>Allg.!I92</f>
        <v>44313</v>
      </c>
    </row>
    <row r="93" spans="1:7">
      <c r="A93" s="365">
        <v>91</v>
      </c>
      <c r="B93" s="365" t="s">
        <v>3779</v>
      </c>
      <c r="C93" s="364" t="s">
        <v>3765</v>
      </c>
      <c r="D93" s="365"/>
      <c r="E93" s="435" t="str">
        <f>Allg.!C93</f>
        <v>Chen, Ming</v>
      </c>
      <c r="F93" s="365" t="str">
        <f>Allg.!F93</f>
        <v>埃伏斯智能科技（上海）有限公司</v>
      </c>
      <c r="G93" s="519">
        <f>Allg.!I93</f>
        <v>44313</v>
      </c>
    </row>
    <row r="94" spans="1:7">
      <c r="A94" s="365">
        <v>92</v>
      </c>
      <c r="B94" s="365" t="s">
        <v>3779</v>
      </c>
      <c r="C94" s="364" t="s">
        <v>3765</v>
      </c>
      <c r="D94" s="365"/>
      <c r="E94" s="435" t="str">
        <f>Allg.!C94</f>
        <v>Hao, Dongyuan</v>
      </c>
      <c r="F94" s="365" t="str">
        <f>Allg.!F94</f>
        <v>埃伏斯智能科技（上海）有限公司</v>
      </c>
      <c r="G94" s="519">
        <f>Allg.!I94</f>
        <v>44313</v>
      </c>
    </row>
    <row r="95" spans="1:7">
      <c r="A95" s="365">
        <v>93</v>
      </c>
      <c r="B95" s="365" t="s">
        <v>3780</v>
      </c>
      <c r="C95" s="364" t="s">
        <v>3765</v>
      </c>
      <c r="D95" s="365"/>
      <c r="E95" s="435" t="str">
        <f>Allg.!C95</f>
        <v>Li, Jinfeng</v>
      </c>
      <c r="F95" s="365" t="str">
        <f>Allg.!F95</f>
        <v>一汽模具制造有限公司</v>
      </c>
      <c r="G95" s="519">
        <f>Allg.!I95</f>
        <v>44313</v>
      </c>
    </row>
    <row r="96" spans="1:7">
      <c r="A96" s="365">
        <v>94</v>
      </c>
      <c r="B96" s="365" t="s">
        <v>3780</v>
      </c>
      <c r="C96" s="364" t="s">
        <v>3765</v>
      </c>
      <c r="D96" s="365"/>
      <c r="E96" s="435" t="str">
        <f>Allg.!C96</f>
        <v>Chen, Chong</v>
      </c>
      <c r="F96" s="365" t="str">
        <f>Allg.!F96</f>
        <v>一汽模具制造有限公司</v>
      </c>
      <c r="G96" s="519">
        <f>Allg.!I96</f>
        <v>44313</v>
      </c>
    </row>
    <row r="97" spans="1:7">
      <c r="A97" s="365">
        <v>95</v>
      </c>
      <c r="B97" s="365" t="s">
        <v>3780</v>
      </c>
      <c r="C97" s="364" t="s">
        <v>3765</v>
      </c>
      <c r="D97" s="365"/>
      <c r="E97" s="435" t="str">
        <f>Allg.!C97</f>
        <v>Zhang, Hongtao</v>
      </c>
      <c r="F97" s="365" t="str">
        <f>Allg.!F97</f>
        <v>一汽模具制造有限公司</v>
      </c>
      <c r="G97" s="519">
        <f>Allg.!I97</f>
        <v>44313</v>
      </c>
    </row>
    <row r="98" spans="1:7">
      <c r="A98" s="365">
        <v>96</v>
      </c>
      <c r="B98" s="365" t="s">
        <v>3780</v>
      </c>
      <c r="C98" s="364" t="s">
        <v>3765</v>
      </c>
      <c r="D98" s="365"/>
      <c r="E98" s="435" t="str">
        <f>Allg.!C98</f>
        <v>Zhang, Dongyang</v>
      </c>
      <c r="F98" s="365" t="str">
        <f>Allg.!F98</f>
        <v>一汽模具制造有限公司</v>
      </c>
      <c r="G98" s="519">
        <f>Allg.!I98</f>
        <v>44313</v>
      </c>
    </row>
    <row r="99" spans="1:7">
      <c r="A99" s="365">
        <v>97</v>
      </c>
      <c r="B99" s="365" t="s">
        <v>3780</v>
      </c>
      <c r="C99" s="364" t="s">
        <v>3765</v>
      </c>
      <c r="D99" s="365"/>
      <c r="E99" s="435" t="str">
        <f>Allg.!C99</f>
        <v>Dong, Hongxiang</v>
      </c>
      <c r="F99" s="365" t="str">
        <f>Allg.!F99</f>
        <v>一汽模具制造有限公司</v>
      </c>
      <c r="G99" s="519">
        <f>Allg.!I99</f>
        <v>44313</v>
      </c>
    </row>
    <row r="100" spans="1:7">
      <c r="A100" s="365">
        <v>98</v>
      </c>
      <c r="B100" s="365" t="s">
        <v>3781</v>
      </c>
      <c r="C100" s="364" t="s">
        <v>3765</v>
      </c>
      <c r="D100" s="365"/>
      <c r="E100" s="435" t="str">
        <f>Allg.!C100</f>
        <v>Li, Weizhou</v>
      </c>
      <c r="F100" s="365" t="str">
        <f>Allg.!F100</f>
        <v>一汽模具（天津）有限公司</v>
      </c>
      <c r="G100" s="519">
        <f>Allg.!I100</f>
        <v>44313</v>
      </c>
    </row>
    <row r="101" spans="1:7">
      <c r="A101" s="365">
        <v>99</v>
      </c>
      <c r="B101" s="365" t="s">
        <v>3782</v>
      </c>
      <c r="C101" s="364" t="s">
        <v>3765</v>
      </c>
      <c r="D101" s="365"/>
      <c r="E101" s="435" t="str">
        <f>Allg.!C101</f>
        <v>Ai, Daogong</v>
      </c>
      <c r="F101" s="365" t="str">
        <f>Allg.!F101</f>
        <v>上海悍蒙机电科技有限公司</v>
      </c>
      <c r="G101" s="519">
        <f>Allg.!I101</f>
        <v>44313</v>
      </c>
    </row>
    <row r="102" spans="1:7">
      <c r="A102" s="365">
        <v>100</v>
      </c>
      <c r="B102" s="365" t="s">
        <v>3782</v>
      </c>
      <c r="C102" s="364" t="s">
        <v>3765</v>
      </c>
      <c r="D102" s="365"/>
      <c r="E102" s="435" t="str">
        <f>Allg.!C102</f>
        <v>Sun, Xiaolong</v>
      </c>
      <c r="F102" s="365" t="str">
        <f>Allg.!F102</f>
        <v>上海悍蒙机电科技有限公司</v>
      </c>
      <c r="G102" s="519">
        <f>Allg.!I102</f>
        <v>44313</v>
      </c>
    </row>
    <row r="103" spans="1:7">
      <c r="A103" s="365">
        <v>101</v>
      </c>
      <c r="B103" s="365" t="s">
        <v>3782</v>
      </c>
      <c r="C103" s="364" t="s">
        <v>3765</v>
      </c>
      <c r="D103" s="365"/>
      <c r="E103" s="435" t="str">
        <f>Allg.!C103</f>
        <v>Tian, Kang</v>
      </c>
      <c r="F103" s="365" t="str">
        <f>Allg.!F103</f>
        <v>上海悍蒙机电科技有限公司</v>
      </c>
      <c r="G103" s="519">
        <f>Allg.!I103</f>
        <v>44314</v>
      </c>
    </row>
    <row r="104" spans="1:7">
      <c r="A104" s="365">
        <v>102</v>
      </c>
      <c r="B104" s="365" t="s">
        <v>3782</v>
      </c>
      <c r="C104" s="364" t="s">
        <v>3765</v>
      </c>
      <c r="D104" s="365"/>
      <c r="E104" s="435" t="str">
        <f>Allg.!C104</f>
        <v>Liu, Zhengwei</v>
      </c>
      <c r="F104" s="365" t="str">
        <f>Allg.!F104</f>
        <v>上海悍蒙机电科技有限公司</v>
      </c>
      <c r="G104" s="519">
        <f>Allg.!I104</f>
        <v>44314</v>
      </c>
    </row>
    <row r="105" spans="1:7">
      <c r="A105" s="365">
        <v>103</v>
      </c>
      <c r="B105" s="365" t="s">
        <v>3782</v>
      </c>
      <c r="C105" s="364" t="s">
        <v>3765</v>
      </c>
      <c r="D105" s="365"/>
      <c r="E105" s="435" t="str">
        <f>Allg.!C105</f>
        <v>Liu, Xinhao</v>
      </c>
      <c r="F105" s="365" t="str">
        <f>Allg.!F105</f>
        <v>上海悍蒙机电科技有限公司</v>
      </c>
      <c r="G105" s="519">
        <f>Allg.!I105</f>
        <v>44314</v>
      </c>
    </row>
    <row r="106" spans="1:7">
      <c r="A106" s="365">
        <v>104</v>
      </c>
      <c r="B106" s="365" t="s">
        <v>3782</v>
      </c>
      <c r="C106" s="364" t="s">
        <v>3765</v>
      </c>
      <c r="D106" s="365"/>
      <c r="E106" s="435" t="str">
        <f>Allg.!C106</f>
        <v>Wu, Xiancheng</v>
      </c>
      <c r="F106" s="365" t="str">
        <f>Allg.!F106</f>
        <v>上海悍蒙机电科技有限公司</v>
      </c>
      <c r="G106" s="519">
        <f>Allg.!I106</f>
        <v>44314</v>
      </c>
    </row>
    <row r="107" spans="1:7">
      <c r="A107" s="365">
        <v>105</v>
      </c>
      <c r="B107" s="365" t="s">
        <v>3782</v>
      </c>
      <c r="C107" s="364" t="s">
        <v>3765</v>
      </c>
      <c r="D107" s="365"/>
      <c r="E107" s="435" t="str">
        <f>Allg.!C107</f>
        <v>Wang, Tianlai</v>
      </c>
      <c r="F107" s="365" t="str">
        <f>Allg.!F107</f>
        <v>上海悍蒙机电科技有限公司</v>
      </c>
      <c r="G107" s="519">
        <f>Allg.!I107</f>
        <v>44314</v>
      </c>
    </row>
    <row r="108" spans="1:7">
      <c r="A108" s="365">
        <v>106</v>
      </c>
      <c r="B108" s="365" t="s">
        <v>3783</v>
      </c>
      <c r="C108" s="364" t="s">
        <v>3765</v>
      </c>
      <c r="D108" s="365"/>
      <c r="E108" s="435" t="str">
        <f>Allg.!C108</f>
        <v>Tang.Jianguo</v>
      </c>
      <c r="F108" s="365" t="str">
        <f>Allg.!F108</f>
        <v>上海ABB工程有限公司</v>
      </c>
      <c r="G108" s="519">
        <f>Allg.!I108</f>
        <v>44403</v>
      </c>
    </row>
    <row r="109" spans="1:7">
      <c r="A109" s="365">
        <v>107</v>
      </c>
      <c r="B109" s="365" t="s">
        <v>3783</v>
      </c>
      <c r="C109" s="364" t="s">
        <v>3765</v>
      </c>
      <c r="D109" s="365"/>
      <c r="E109" s="435" t="str">
        <f>Allg.!C109</f>
        <v>Zhou.Yalu</v>
      </c>
      <c r="F109" s="365" t="str">
        <f>Allg.!F109</f>
        <v>上海ABB工程有限公司</v>
      </c>
      <c r="G109" s="519">
        <f>Allg.!I109</f>
        <v>44403</v>
      </c>
    </row>
    <row r="110" spans="1:7">
      <c r="A110" s="365">
        <v>108</v>
      </c>
      <c r="B110" s="365" t="s">
        <v>3783</v>
      </c>
      <c r="C110" s="364" t="s">
        <v>3765</v>
      </c>
      <c r="D110" s="365"/>
      <c r="E110" s="435" t="str">
        <f>Allg.!C110</f>
        <v>Liu.Jiageng</v>
      </c>
      <c r="F110" s="365" t="str">
        <f>Allg.!F110</f>
        <v>上海ABB工程有限公司</v>
      </c>
      <c r="G110" s="519">
        <f>Allg.!I110</f>
        <v>44403</v>
      </c>
    </row>
    <row r="111" spans="1:7">
      <c r="A111" s="365">
        <v>109</v>
      </c>
      <c r="B111" s="365" t="s">
        <v>3783</v>
      </c>
      <c r="C111" s="364" t="s">
        <v>3765</v>
      </c>
      <c r="D111" s="365"/>
      <c r="E111" s="435" t="str">
        <f>Allg.!C111</f>
        <v>Shao.Zhe</v>
      </c>
      <c r="F111" s="365" t="str">
        <f>Allg.!F111</f>
        <v>上海ABB工程有限公司</v>
      </c>
      <c r="G111" s="519">
        <f>Allg.!I111</f>
        <v>44403</v>
      </c>
    </row>
    <row r="112" spans="1:7">
      <c r="A112" s="365">
        <v>110</v>
      </c>
      <c r="B112" s="365" t="s">
        <v>3783</v>
      </c>
      <c r="C112" s="364" t="s">
        <v>3765</v>
      </c>
      <c r="D112" s="365"/>
      <c r="E112" s="435" t="str">
        <f>Allg.!C112</f>
        <v>Hao XiQiang</v>
      </c>
      <c r="F112" s="365" t="str">
        <f>Allg.!F112</f>
        <v>上海ABB工程有限公司</v>
      </c>
      <c r="G112" s="519">
        <f>Allg.!I112</f>
        <v>44403</v>
      </c>
    </row>
    <row r="113" spans="1:7">
      <c r="A113" s="365">
        <v>111</v>
      </c>
      <c r="B113" s="365" t="s">
        <v>3783</v>
      </c>
      <c r="C113" s="364" t="s">
        <v>3765</v>
      </c>
      <c r="D113" s="365"/>
      <c r="E113" s="435" t="str">
        <f>Allg.!C113</f>
        <v>Li Jing</v>
      </c>
      <c r="F113" s="365" t="str">
        <f>Allg.!F113</f>
        <v>上海ABB工程有限公司</v>
      </c>
      <c r="G113" s="519">
        <f>Allg.!I113</f>
        <v>44403</v>
      </c>
    </row>
    <row r="114" spans="1:7">
      <c r="A114" s="365">
        <v>112</v>
      </c>
      <c r="B114" s="365" t="s">
        <v>3783</v>
      </c>
      <c r="C114" s="364" t="s">
        <v>3765</v>
      </c>
      <c r="D114" s="365"/>
      <c r="E114" s="435" t="str">
        <f>Allg.!C114</f>
        <v>Ma Hongchao</v>
      </c>
      <c r="F114" s="365" t="str">
        <f>Allg.!F114</f>
        <v>上海ABB工程有限公司</v>
      </c>
      <c r="G114" s="519">
        <f>Allg.!I114</f>
        <v>44403</v>
      </c>
    </row>
    <row r="115" spans="1:7">
      <c r="A115" s="365">
        <v>113</v>
      </c>
      <c r="B115" s="365" t="s">
        <v>3783</v>
      </c>
      <c r="C115" s="364" t="s">
        <v>3765</v>
      </c>
      <c r="D115" s="365"/>
      <c r="E115" s="435" t="str">
        <f>Allg.!C115</f>
        <v xml:space="preserve">Rong JiaLiang </v>
      </c>
      <c r="F115" s="365" t="str">
        <f>Allg.!F115</f>
        <v>上海ABB工程有限公司</v>
      </c>
      <c r="G115" s="519">
        <f>Allg.!I115</f>
        <v>44403</v>
      </c>
    </row>
    <row r="116" spans="1:7">
      <c r="A116" s="365">
        <v>114</v>
      </c>
      <c r="B116" s="365" t="s">
        <v>3783</v>
      </c>
      <c r="C116" s="364" t="s">
        <v>3765</v>
      </c>
      <c r="D116" s="365"/>
      <c r="E116" s="435" t="str">
        <f>Allg.!C116</f>
        <v>Wang Jian</v>
      </c>
      <c r="F116" s="365" t="str">
        <f>Allg.!F116</f>
        <v>上海ABB工程有限公司</v>
      </c>
      <c r="G116" s="519">
        <f>Allg.!I116</f>
        <v>44403</v>
      </c>
    </row>
    <row r="117" spans="1:7">
      <c r="A117" s="365">
        <v>115</v>
      </c>
      <c r="B117" s="365" t="s">
        <v>3783</v>
      </c>
      <c r="C117" s="364" t="s">
        <v>3765</v>
      </c>
      <c r="D117" s="365"/>
      <c r="E117" s="435" t="str">
        <f>Allg.!C117</f>
        <v>Zhen YongXiang</v>
      </c>
      <c r="F117" s="365" t="str">
        <f>Allg.!F117</f>
        <v>上海ABB工程有限公司</v>
      </c>
      <c r="G117" s="519">
        <f>Allg.!I117</f>
        <v>44403</v>
      </c>
    </row>
    <row r="118" spans="1:7">
      <c r="A118" s="365">
        <v>116</v>
      </c>
      <c r="B118" s="365" t="s">
        <v>3784</v>
      </c>
      <c r="C118" s="364" t="s">
        <v>3765</v>
      </c>
      <c r="D118" s="365"/>
      <c r="E118" s="435" t="str">
        <f>Allg.!C118</f>
        <v>Wu, Guandong</v>
      </c>
      <c r="F118" s="365" t="str">
        <f>Allg.!F118</f>
        <v>成都安德力自动化科技有限公司</v>
      </c>
      <c r="G118" s="519">
        <f>Allg.!I118</f>
        <v>44403</v>
      </c>
    </row>
    <row r="119" spans="1:7">
      <c r="A119" s="365">
        <v>117</v>
      </c>
      <c r="B119" s="365" t="s">
        <v>3784</v>
      </c>
      <c r="C119" s="364" t="s">
        <v>3765</v>
      </c>
      <c r="D119" s="365"/>
      <c r="E119" s="435" t="str">
        <f>Allg.!C119</f>
        <v>Song,Tao</v>
      </c>
      <c r="F119" s="365" t="str">
        <f>Allg.!F119</f>
        <v>成都安德力自动化科技有限公司</v>
      </c>
      <c r="G119" s="519">
        <f>Allg.!I119</f>
        <v>44403</v>
      </c>
    </row>
    <row r="120" spans="1:7">
      <c r="A120" s="365">
        <v>118</v>
      </c>
      <c r="B120" s="365" t="s">
        <v>3784</v>
      </c>
      <c r="C120" s="364" t="s">
        <v>3765</v>
      </c>
      <c r="D120" s="365"/>
      <c r="E120" s="435" t="str">
        <f>Allg.!C120</f>
        <v>Liu,Qinggang</v>
      </c>
      <c r="F120" s="365" t="str">
        <f>Allg.!F120</f>
        <v>成都安德力自动化科技有限公司</v>
      </c>
      <c r="G120" s="519">
        <f>Allg.!I120</f>
        <v>44403</v>
      </c>
    </row>
    <row r="121" spans="1:7">
      <c r="A121" s="365">
        <v>119</v>
      </c>
      <c r="B121" s="365" t="s">
        <v>3784</v>
      </c>
      <c r="C121" s="364" t="s">
        <v>3765</v>
      </c>
      <c r="D121" s="365"/>
      <c r="E121" s="435" t="str">
        <f>Allg.!C121</f>
        <v>Tian,Shun</v>
      </c>
      <c r="F121" s="365" t="str">
        <f>Allg.!F121</f>
        <v>成都安德力自动化科技有限公司</v>
      </c>
      <c r="G121" s="519">
        <f>Allg.!I121</f>
        <v>44403</v>
      </c>
    </row>
    <row r="122" spans="1:7">
      <c r="A122" s="365">
        <v>120</v>
      </c>
      <c r="B122" s="365" t="s">
        <v>3784</v>
      </c>
      <c r="C122" s="364" t="s">
        <v>3765</v>
      </c>
      <c r="D122" s="365"/>
      <c r="E122" s="435" t="str">
        <f>Allg.!C122</f>
        <v>Zhang,Meng</v>
      </c>
      <c r="F122" s="365" t="str">
        <f>Allg.!F122</f>
        <v>成都安德力自动化科技有限公司</v>
      </c>
      <c r="G122" s="519">
        <f>Allg.!I122</f>
        <v>44403</v>
      </c>
    </row>
    <row r="123" spans="1:7">
      <c r="A123" s="365">
        <v>121</v>
      </c>
      <c r="B123" s="365" t="s">
        <v>3784</v>
      </c>
      <c r="C123" s="364" t="s">
        <v>3765</v>
      </c>
      <c r="D123" s="365"/>
      <c r="E123" s="435" t="str">
        <f>Allg.!C123</f>
        <v>Zhang,Dong</v>
      </c>
      <c r="F123" s="365" t="str">
        <f>Allg.!F123</f>
        <v>成都安德力自动化科技有限公司</v>
      </c>
      <c r="G123" s="519">
        <f>Allg.!I123</f>
        <v>44403</v>
      </c>
    </row>
    <row r="124" spans="1:7">
      <c r="A124" s="365">
        <v>122</v>
      </c>
      <c r="B124" s="365" t="s">
        <v>3784</v>
      </c>
      <c r="C124" s="364" t="s">
        <v>3765</v>
      </c>
      <c r="D124" s="365"/>
      <c r="E124" s="435" t="str">
        <f>Allg.!C124</f>
        <v>Wang,Xianzhuang</v>
      </c>
      <c r="F124" s="365" t="str">
        <f>Allg.!F124</f>
        <v>成都安德力自动化科技有限公司</v>
      </c>
      <c r="G124" s="519">
        <f>Allg.!I124</f>
        <v>44403</v>
      </c>
    </row>
    <row r="125" spans="1:7">
      <c r="A125" s="365">
        <v>123</v>
      </c>
      <c r="B125" s="365" t="s">
        <v>3784</v>
      </c>
      <c r="C125" s="364" t="s">
        <v>3765</v>
      </c>
      <c r="D125" s="365"/>
      <c r="E125" s="435" t="str">
        <f>Allg.!C125</f>
        <v>Wang,Xianyou</v>
      </c>
      <c r="F125" s="365" t="str">
        <f>Allg.!F125</f>
        <v>成都安德力自动化科技有限公司</v>
      </c>
      <c r="G125" s="519">
        <f>Allg.!I125</f>
        <v>44403</v>
      </c>
    </row>
    <row r="126" spans="1:7">
      <c r="A126" s="365">
        <v>124</v>
      </c>
      <c r="B126" s="365" t="s">
        <v>3784</v>
      </c>
      <c r="C126" s="364" t="s">
        <v>3765</v>
      </c>
      <c r="D126" s="365"/>
      <c r="E126" s="435" t="str">
        <f>Allg.!C126</f>
        <v>Zhang,Zhiyang</v>
      </c>
      <c r="F126" s="365" t="str">
        <f>Allg.!F126</f>
        <v>成都安德力自动化科技有限公司</v>
      </c>
      <c r="G126" s="519">
        <f>Allg.!I126</f>
        <v>44403</v>
      </c>
    </row>
    <row r="127" spans="1:7">
      <c r="A127" s="365">
        <v>125</v>
      </c>
      <c r="B127" s="365" t="s">
        <v>3784</v>
      </c>
      <c r="C127" s="364" t="s">
        <v>3765</v>
      </c>
      <c r="D127" s="365"/>
      <c r="E127" s="435" t="str">
        <f>Allg.!C127</f>
        <v>Li,Tao</v>
      </c>
      <c r="F127" s="365" t="str">
        <f>Allg.!F127</f>
        <v>成都安德力自动化科技有限公司</v>
      </c>
      <c r="G127" s="519">
        <f>Allg.!I127</f>
        <v>44403</v>
      </c>
    </row>
    <row r="128" spans="1:7">
      <c r="A128" s="365">
        <v>126</v>
      </c>
      <c r="B128" s="365" t="s">
        <v>3784</v>
      </c>
      <c r="C128" s="364" t="s">
        <v>3765</v>
      </c>
      <c r="D128" s="365"/>
      <c r="E128" s="435" t="str">
        <f>Allg.!C128</f>
        <v>Liu,Peng</v>
      </c>
      <c r="F128" s="365" t="str">
        <f>Allg.!F128</f>
        <v>成都安德力自动化科技有限公司</v>
      </c>
      <c r="G128" s="519">
        <f>Allg.!I128</f>
        <v>44403</v>
      </c>
    </row>
    <row r="129" spans="1:8">
      <c r="A129" s="365">
        <v>127</v>
      </c>
      <c r="B129" s="365" t="s">
        <v>3784</v>
      </c>
      <c r="C129" s="364" t="s">
        <v>3765</v>
      </c>
      <c r="D129" s="365"/>
      <c r="E129" s="435" t="str">
        <f>Allg.!C129</f>
        <v>Lai,Ning</v>
      </c>
      <c r="F129" s="365" t="str">
        <f>Allg.!F129</f>
        <v>成都安德力自动化科技有限公司</v>
      </c>
      <c r="G129" s="519">
        <f>Allg.!I129</f>
        <v>44403</v>
      </c>
      <c r="H129" s="181"/>
    </row>
    <row r="130" spans="1:8">
      <c r="A130" s="365">
        <v>128</v>
      </c>
      <c r="B130" s="365" t="s">
        <v>3784</v>
      </c>
      <c r="C130" s="364" t="s">
        <v>3765</v>
      </c>
      <c r="D130" s="365"/>
      <c r="E130" s="435" t="str">
        <f>Allg.!C130</f>
        <v>Zhang,Yishan</v>
      </c>
      <c r="F130" s="365" t="str">
        <f>Allg.!F130</f>
        <v>成都安德力自动化科技有限公司</v>
      </c>
      <c r="G130" s="519">
        <f>Allg.!I130</f>
        <v>44403</v>
      </c>
      <c r="H130" s="181"/>
    </row>
    <row r="131" spans="1:8">
      <c r="A131" s="365">
        <v>129</v>
      </c>
      <c r="B131" s="365" t="s">
        <v>3784</v>
      </c>
      <c r="C131" s="364" t="s">
        <v>3765</v>
      </c>
      <c r="D131" s="365"/>
      <c r="E131" s="435" t="str">
        <f>Allg.!C131</f>
        <v>Tian,Sukun</v>
      </c>
      <c r="F131" s="365" t="str">
        <f>Allg.!F131</f>
        <v>成都安德力自动化科技有限公司</v>
      </c>
      <c r="G131" s="519">
        <f>Allg.!I131</f>
        <v>44403</v>
      </c>
      <c r="H131" s="181"/>
    </row>
    <row r="132" spans="1:8">
      <c r="A132" s="365">
        <v>130</v>
      </c>
      <c r="B132" s="365" t="s">
        <v>3784</v>
      </c>
      <c r="C132" s="364" t="s">
        <v>3765</v>
      </c>
      <c r="D132" s="365"/>
      <c r="E132" s="435" t="str">
        <f>Allg.!C132</f>
        <v>He,Pengju</v>
      </c>
      <c r="F132" s="365" t="str">
        <f>Allg.!F132</f>
        <v>成都安德力自动化科技有限公司</v>
      </c>
      <c r="G132" s="519">
        <f>Allg.!I132</f>
        <v>44403</v>
      </c>
      <c r="H132" s="181"/>
    </row>
    <row r="133" spans="1:8" ht="13.5" customHeight="1">
      <c r="A133" s="365">
        <v>131</v>
      </c>
      <c r="B133" s="365" t="s">
        <v>3784</v>
      </c>
      <c r="C133" s="364" t="s">
        <v>3765</v>
      </c>
      <c r="D133" s="365"/>
      <c r="E133" s="435" t="str">
        <f>Allg.!C133</f>
        <v>Jiang,Xin</v>
      </c>
      <c r="F133" s="365" t="str">
        <f>Allg.!F133</f>
        <v>成都安德力自动化科技有限公司</v>
      </c>
      <c r="G133" s="519">
        <f>Allg.!I133</f>
        <v>44403</v>
      </c>
      <c r="H133" s="181"/>
    </row>
    <row r="134" spans="1:8">
      <c r="A134" s="365">
        <v>132</v>
      </c>
      <c r="B134" s="365" t="s">
        <v>3785</v>
      </c>
      <c r="C134" s="364" t="s">
        <v>3765</v>
      </c>
      <c r="D134" s="365"/>
      <c r="E134" s="435" t="s">
        <v>3786</v>
      </c>
      <c r="F134" s="463" t="s">
        <v>805</v>
      </c>
      <c r="G134" s="519">
        <v>44607</v>
      </c>
      <c r="H134" s="181" t="s">
        <v>3787</v>
      </c>
    </row>
    <row r="135" spans="1:8">
      <c r="A135" s="365">
        <v>133</v>
      </c>
      <c r="B135" s="365" t="s">
        <v>3785</v>
      </c>
      <c r="C135" s="364" t="s">
        <v>3765</v>
      </c>
      <c r="D135" s="365"/>
      <c r="E135" s="435" t="s">
        <v>3788</v>
      </c>
      <c r="F135" s="463" t="s">
        <v>805</v>
      </c>
      <c r="G135" s="519">
        <v>44607</v>
      </c>
      <c r="H135" s="181" t="s">
        <v>3787</v>
      </c>
    </row>
    <row r="136" spans="1:8">
      <c r="A136" s="365">
        <v>134</v>
      </c>
      <c r="B136" s="365" t="s">
        <v>3785</v>
      </c>
      <c r="C136" s="364" t="s">
        <v>3765</v>
      </c>
      <c r="D136" s="365"/>
      <c r="E136" s="435" t="s">
        <v>3789</v>
      </c>
      <c r="F136" s="463" t="s">
        <v>805</v>
      </c>
      <c r="G136" s="519">
        <v>44607</v>
      </c>
      <c r="H136" s="181" t="s">
        <v>3787</v>
      </c>
    </row>
    <row r="137" spans="1:8">
      <c r="A137" s="365">
        <v>135</v>
      </c>
      <c r="B137" s="365" t="s">
        <v>3790</v>
      </c>
      <c r="C137" s="504" t="s">
        <v>3765</v>
      </c>
      <c r="D137" s="365"/>
      <c r="E137" s="435" t="s">
        <v>3791</v>
      </c>
      <c r="F137" s="463" t="s">
        <v>641</v>
      </c>
      <c r="G137" s="519">
        <v>44607</v>
      </c>
      <c r="H137" s="181" t="s">
        <v>3787</v>
      </c>
    </row>
    <row r="138" spans="1:8">
      <c r="A138" s="365">
        <v>136</v>
      </c>
      <c r="B138" s="365" t="s">
        <v>3790</v>
      </c>
      <c r="C138" s="504" t="s">
        <v>3765</v>
      </c>
      <c r="D138" s="365"/>
      <c r="E138" s="521" t="s">
        <v>3792</v>
      </c>
      <c r="F138" s="522" t="s">
        <v>648</v>
      </c>
      <c r="G138" s="519">
        <v>44607</v>
      </c>
      <c r="H138" s="181" t="s">
        <v>3787</v>
      </c>
    </row>
    <row r="139" spans="1:8">
      <c r="A139" s="365">
        <v>137</v>
      </c>
      <c r="B139" s="365" t="s">
        <v>3790</v>
      </c>
      <c r="C139" s="504" t="s">
        <v>3765</v>
      </c>
      <c r="D139" s="365"/>
      <c r="E139" s="521" t="s">
        <v>3793</v>
      </c>
      <c r="F139" s="522" t="s">
        <v>648</v>
      </c>
      <c r="G139" s="519">
        <v>44607</v>
      </c>
      <c r="H139" s="181" t="s">
        <v>3787</v>
      </c>
    </row>
    <row r="140" spans="1:8">
      <c r="A140" s="365">
        <v>138</v>
      </c>
      <c r="B140" s="365" t="s">
        <v>3790</v>
      </c>
      <c r="C140" s="504" t="s">
        <v>3765</v>
      </c>
      <c r="D140" s="365"/>
      <c r="E140" s="521" t="s">
        <v>3794</v>
      </c>
      <c r="F140" s="522" t="s">
        <v>648</v>
      </c>
      <c r="G140" s="519">
        <v>44607</v>
      </c>
      <c r="H140" s="181" t="s">
        <v>3787</v>
      </c>
    </row>
    <row r="141" spans="1:8">
      <c r="A141" s="365">
        <v>139</v>
      </c>
      <c r="B141" s="365" t="s">
        <v>3790</v>
      </c>
      <c r="C141" s="504" t="s">
        <v>3765</v>
      </c>
      <c r="D141" s="365"/>
      <c r="E141" s="521" t="s">
        <v>3795</v>
      </c>
      <c r="F141" s="522" t="s">
        <v>648</v>
      </c>
      <c r="G141" s="519">
        <v>44607</v>
      </c>
      <c r="H141" s="181" t="s">
        <v>3787</v>
      </c>
    </row>
    <row r="142" spans="1:8">
      <c r="A142" s="365">
        <v>140</v>
      </c>
      <c r="B142" s="365" t="s">
        <v>3790</v>
      </c>
      <c r="C142" s="504" t="s">
        <v>3765</v>
      </c>
      <c r="D142" s="365"/>
      <c r="E142" s="521" t="s">
        <v>2373</v>
      </c>
      <c r="F142" s="522" t="s">
        <v>648</v>
      </c>
      <c r="G142" s="519">
        <v>44607</v>
      </c>
      <c r="H142" s="181" t="s">
        <v>3787</v>
      </c>
    </row>
    <row r="143" spans="1:8">
      <c r="A143" s="365">
        <v>141</v>
      </c>
      <c r="B143" s="365" t="s">
        <v>3790</v>
      </c>
      <c r="C143" s="504" t="s">
        <v>3765</v>
      </c>
      <c r="D143" s="365"/>
      <c r="E143" s="521" t="s">
        <v>3796</v>
      </c>
      <c r="F143" s="522" t="s">
        <v>648</v>
      </c>
      <c r="G143" s="519">
        <v>44607</v>
      </c>
      <c r="H143" s="181" t="s">
        <v>3787</v>
      </c>
    </row>
    <row r="144" spans="1:8">
      <c r="A144" s="365">
        <v>142</v>
      </c>
      <c r="B144" s="365" t="s">
        <v>3790</v>
      </c>
      <c r="C144" s="504" t="s">
        <v>3765</v>
      </c>
      <c r="D144" s="365"/>
      <c r="E144" s="521" t="s">
        <v>1290</v>
      </c>
      <c r="F144" s="522" t="s">
        <v>648</v>
      </c>
      <c r="G144" s="519">
        <v>44607</v>
      </c>
      <c r="H144" s="181" t="s">
        <v>3787</v>
      </c>
    </row>
    <row r="145" spans="1:8">
      <c r="A145" s="365">
        <v>143</v>
      </c>
      <c r="B145" s="365" t="s">
        <v>3790</v>
      </c>
      <c r="C145" s="504" t="s">
        <v>3765</v>
      </c>
      <c r="D145" s="365"/>
      <c r="E145" s="521" t="s">
        <v>1291</v>
      </c>
      <c r="F145" s="522" t="s">
        <v>648</v>
      </c>
      <c r="G145" s="519">
        <v>44607</v>
      </c>
      <c r="H145" s="181" t="s">
        <v>3787</v>
      </c>
    </row>
    <row r="146" spans="1:8">
      <c r="A146" s="365">
        <v>144</v>
      </c>
      <c r="B146" s="365" t="s">
        <v>3790</v>
      </c>
      <c r="C146" s="504" t="s">
        <v>3765</v>
      </c>
      <c r="D146" s="365"/>
      <c r="E146" s="521" t="s">
        <v>3797</v>
      </c>
      <c r="F146" s="522" t="s">
        <v>648</v>
      </c>
      <c r="G146" s="519">
        <v>44607</v>
      </c>
      <c r="H146" s="181" t="s">
        <v>3787</v>
      </c>
    </row>
    <row r="147" spans="1:8">
      <c r="A147" s="365">
        <v>145</v>
      </c>
      <c r="B147" s="365" t="s">
        <v>3790</v>
      </c>
      <c r="C147" s="504" t="s">
        <v>3765</v>
      </c>
      <c r="D147" s="365"/>
      <c r="E147" s="521" t="s">
        <v>2377</v>
      </c>
      <c r="F147" s="522" t="s">
        <v>648</v>
      </c>
      <c r="G147" s="519">
        <v>44607</v>
      </c>
      <c r="H147" s="181" t="s">
        <v>3787</v>
      </c>
    </row>
    <row r="148" spans="1:8">
      <c r="A148" s="365">
        <v>146</v>
      </c>
      <c r="B148" s="365" t="s">
        <v>3790</v>
      </c>
      <c r="C148" s="523" t="s">
        <v>3765</v>
      </c>
      <c r="D148" s="365"/>
      <c r="E148" s="352" t="s">
        <v>3798</v>
      </c>
      <c r="F148" s="524" t="s">
        <v>696</v>
      </c>
      <c r="G148" s="519">
        <v>44607</v>
      </c>
      <c r="H148" s="181" t="s">
        <v>3787</v>
      </c>
    </row>
    <row r="149" spans="1:8">
      <c r="A149" s="365">
        <v>147</v>
      </c>
      <c r="B149" s="365" t="s">
        <v>3790</v>
      </c>
      <c r="C149" s="523" t="s">
        <v>3765</v>
      </c>
      <c r="D149" s="365"/>
      <c r="E149" s="352" t="s">
        <v>3799</v>
      </c>
      <c r="F149" s="524" t="s">
        <v>696</v>
      </c>
      <c r="G149" s="519">
        <v>44607</v>
      </c>
      <c r="H149" s="181" t="s">
        <v>3800</v>
      </c>
    </row>
    <row r="150" spans="1:8">
      <c r="A150" s="365">
        <v>148</v>
      </c>
      <c r="B150" s="365" t="s">
        <v>3790</v>
      </c>
      <c r="C150" s="523" t="s">
        <v>3765</v>
      </c>
      <c r="D150" s="365"/>
      <c r="E150" s="352" t="s">
        <v>3801</v>
      </c>
      <c r="F150" s="524" t="s">
        <v>696</v>
      </c>
      <c r="G150" s="519">
        <v>44607</v>
      </c>
      <c r="H150" s="181" t="s">
        <v>3800</v>
      </c>
    </row>
    <row r="151" spans="1:8">
      <c r="A151" s="365">
        <v>149</v>
      </c>
      <c r="B151" s="365" t="s">
        <v>3790</v>
      </c>
      <c r="C151" s="523" t="s">
        <v>3765</v>
      </c>
      <c r="D151" s="365"/>
      <c r="E151" s="352" t="s">
        <v>3802</v>
      </c>
      <c r="F151" s="524" t="s">
        <v>696</v>
      </c>
      <c r="G151" s="519">
        <v>44607</v>
      </c>
      <c r="H151" s="181" t="s">
        <v>3800</v>
      </c>
    </row>
    <row r="152" spans="1:8">
      <c r="A152" s="365">
        <v>150</v>
      </c>
      <c r="B152" s="365" t="s">
        <v>3790</v>
      </c>
      <c r="C152" s="523" t="s">
        <v>3765</v>
      </c>
      <c r="D152" s="365"/>
      <c r="E152" s="352" t="s">
        <v>1298</v>
      </c>
      <c r="F152" s="524" t="s">
        <v>696</v>
      </c>
      <c r="G152" s="519">
        <v>44607</v>
      </c>
      <c r="H152" s="181" t="s">
        <v>3800</v>
      </c>
    </row>
    <row r="153" spans="1:8">
      <c r="A153" s="365">
        <v>151</v>
      </c>
      <c r="B153" s="365" t="s">
        <v>3790</v>
      </c>
      <c r="C153" s="523" t="s">
        <v>3765</v>
      </c>
      <c r="D153" s="365"/>
      <c r="E153" s="352" t="s">
        <v>3803</v>
      </c>
      <c r="F153" s="524" t="s">
        <v>696</v>
      </c>
      <c r="G153" s="519">
        <v>44607</v>
      </c>
      <c r="H153" s="181" t="s">
        <v>3800</v>
      </c>
    </row>
    <row r="154" spans="1:8">
      <c r="A154" s="365">
        <v>152</v>
      </c>
      <c r="B154" s="365" t="s">
        <v>3790</v>
      </c>
      <c r="C154" s="523" t="s">
        <v>3765</v>
      </c>
      <c r="D154" s="365"/>
      <c r="E154" s="352" t="s">
        <v>3804</v>
      </c>
      <c r="F154" s="524" t="s">
        <v>696</v>
      </c>
      <c r="G154" s="519">
        <v>44607</v>
      </c>
      <c r="H154" s="181" t="s">
        <v>3800</v>
      </c>
    </row>
    <row r="155" spans="1:8">
      <c r="A155" s="365">
        <v>153</v>
      </c>
      <c r="B155" s="365" t="s">
        <v>3790</v>
      </c>
      <c r="C155" s="523" t="s">
        <v>3765</v>
      </c>
      <c r="D155" s="365"/>
      <c r="E155" s="352" t="s">
        <v>3805</v>
      </c>
      <c r="F155" s="524" t="s">
        <v>696</v>
      </c>
      <c r="G155" s="519">
        <v>44607</v>
      </c>
      <c r="H155" s="181" t="s">
        <v>3800</v>
      </c>
    </row>
    <row r="156" spans="1:8">
      <c r="A156" s="365">
        <v>154</v>
      </c>
      <c r="B156" s="365" t="s">
        <v>3790</v>
      </c>
      <c r="C156" s="523" t="s">
        <v>3765</v>
      </c>
      <c r="D156" s="365"/>
      <c r="E156" s="352" t="s">
        <v>3806</v>
      </c>
      <c r="F156" s="524" t="s">
        <v>696</v>
      </c>
      <c r="G156" s="519">
        <v>44607</v>
      </c>
      <c r="H156" s="181" t="s">
        <v>3800</v>
      </c>
    </row>
    <row r="157" spans="1:8">
      <c r="A157" s="365">
        <v>155</v>
      </c>
      <c r="B157" s="365" t="s">
        <v>3790</v>
      </c>
      <c r="C157" s="523" t="s">
        <v>3765</v>
      </c>
      <c r="D157" s="365"/>
      <c r="E157" s="352" t="s">
        <v>3807</v>
      </c>
      <c r="F157" s="524" t="s">
        <v>696</v>
      </c>
      <c r="G157" s="519">
        <v>44607</v>
      </c>
      <c r="H157" s="181" t="s">
        <v>3800</v>
      </c>
    </row>
    <row r="158" spans="1:8">
      <c r="A158" s="365">
        <v>156</v>
      </c>
      <c r="B158" s="365" t="s">
        <v>3790</v>
      </c>
      <c r="C158" s="523" t="s">
        <v>3765</v>
      </c>
      <c r="D158" s="365"/>
      <c r="E158" s="352" t="s">
        <v>3808</v>
      </c>
      <c r="F158" s="524" t="s">
        <v>696</v>
      </c>
      <c r="G158" s="519">
        <v>44607</v>
      </c>
      <c r="H158" s="181" t="s">
        <v>3800</v>
      </c>
    </row>
    <row r="159" spans="1:8">
      <c r="A159" s="365">
        <v>157</v>
      </c>
      <c r="B159" s="365" t="s">
        <v>3790</v>
      </c>
      <c r="C159" s="504" t="s">
        <v>3765</v>
      </c>
      <c r="D159" s="365"/>
      <c r="E159" s="525" t="s">
        <v>3809</v>
      </c>
      <c r="F159" s="524" t="s">
        <v>742</v>
      </c>
      <c r="G159" s="519">
        <v>44607</v>
      </c>
      <c r="H159" s="181" t="s">
        <v>3800</v>
      </c>
    </row>
    <row r="160" spans="1:8">
      <c r="A160" s="365">
        <v>158</v>
      </c>
      <c r="B160" s="365" t="s">
        <v>3790</v>
      </c>
      <c r="C160" s="504" t="s">
        <v>3765</v>
      </c>
      <c r="D160" s="365"/>
      <c r="E160" s="525" t="s">
        <v>3810</v>
      </c>
      <c r="F160" s="524" t="s">
        <v>742</v>
      </c>
      <c r="G160" s="519">
        <v>44607</v>
      </c>
      <c r="H160" s="181" t="s">
        <v>3800</v>
      </c>
    </row>
    <row r="161" spans="1:8">
      <c r="A161" s="365">
        <v>159</v>
      </c>
      <c r="B161" s="365" t="s">
        <v>3790</v>
      </c>
      <c r="C161" s="504" t="s">
        <v>3765</v>
      </c>
      <c r="D161" s="365"/>
      <c r="E161" s="526" t="s">
        <v>749</v>
      </c>
      <c r="F161" s="524" t="s">
        <v>742</v>
      </c>
      <c r="G161" s="519">
        <v>44607</v>
      </c>
      <c r="H161" s="181" t="s">
        <v>3800</v>
      </c>
    </row>
    <row r="162" spans="1:8">
      <c r="A162" s="365">
        <v>160</v>
      </c>
      <c r="B162" s="365" t="s">
        <v>3811</v>
      </c>
      <c r="C162" s="504" t="s">
        <v>3765</v>
      </c>
      <c r="D162" s="365"/>
      <c r="E162" s="527" t="s">
        <v>1260</v>
      </c>
      <c r="F162" s="527" t="s">
        <v>755</v>
      </c>
      <c r="G162" s="519">
        <v>44608</v>
      </c>
      <c r="H162" s="181" t="s">
        <v>3787</v>
      </c>
    </row>
    <row r="163" spans="1:8">
      <c r="A163" s="365">
        <v>161</v>
      </c>
      <c r="B163" s="365" t="s">
        <v>3811</v>
      </c>
      <c r="C163" s="504" t="s">
        <v>3765</v>
      </c>
      <c r="D163" s="365" t="s">
        <v>3812</v>
      </c>
      <c r="E163" s="527" t="s">
        <v>3813</v>
      </c>
      <c r="F163" s="527" t="s">
        <v>755</v>
      </c>
      <c r="G163" s="519">
        <v>44608</v>
      </c>
      <c r="H163" s="181" t="s">
        <v>3787</v>
      </c>
    </row>
    <row r="164" spans="1:8">
      <c r="A164" s="365">
        <v>162</v>
      </c>
      <c r="B164" s="365" t="s">
        <v>3811</v>
      </c>
      <c r="C164" s="504" t="s">
        <v>3765</v>
      </c>
      <c r="D164" s="365"/>
      <c r="E164" s="527" t="s">
        <v>1263</v>
      </c>
      <c r="F164" s="527" t="s">
        <v>755</v>
      </c>
      <c r="G164" s="519">
        <v>44608</v>
      </c>
      <c r="H164" s="181" t="s">
        <v>3787</v>
      </c>
    </row>
    <row r="165" spans="1:8">
      <c r="A165" s="365">
        <v>163</v>
      </c>
      <c r="B165" s="365" t="s">
        <v>3811</v>
      </c>
      <c r="C165" s="504" t="s">
        <v>3765</v>
      </c>
      <c r="D165" s="365"/>
      <c r="E165" s="527" t="s">
        <v>1261</v>
      </c>
      <c r="F165" s="527" t="s">
        <v>755</v>
      </c>
      <c r="G165" s="519">
        <v>44608</v>
      </c>
      <c r="H165" s="181" t="s">
        <v>3787</v>
      </c>
    </row>
    <row r="166" spans="1:8">
      <c r="A166" s="365">
        <v>164</v>
      </c>
      <c r="B166" s="365" t="s">
        <v>3811</v>
      </c>
      <c r="C166" s="504" t="s">
        <v>3765</v>
      </c>
      <c r="D166" s="365"/>
      <c r="E166" s="527" t="s">
        <v>3814</v>
      </c>
      <c r="F166" s="527" t="s">
        <v>775</v>
      </c>
      <c r="G166" s="519">
        <v>44608</v>
      </c>
      <c r="H166" s="181" t="s">
        <v>3787</v>
      </c>
    </row>
    <row r="167" spans="1:8">
      <c r="A167" s="365">
        <v>165</v>
      </c>
      <c r="B167" s="365" t="s">
        <v>3811</v>
      </c>
      <c r="C167" s="504" t="s">
        <v>3765</v>
      </c>
      <c r="D167" s="365"/>
      <c r="E167" s="527" t="s">
        <v>3815</v>
      </c>
      <c r="F167" s="527" t="s">
        <v>775</v>
      </c>
      <c r="G167" s="519">
        <v>44608</v>
      </c>
      <c r="H167" s="181" t="s">
        <v>3787</v>
      </c>
    </row>
    <row r="168" spans="1:8">
      <c r="A168" s="365">
        <v>166</v>
      </c>
      <c r="B168" s="365" t="s">
        <v>3811</v>
      </c>
      <c r="C168" s="504" t="s">
        <v>3765</v>
      </c>
      <c r="D168" s="365"/>
      <c r="E168" s="527" t="s">
        <v>3816</v>
      </c>
      <c r="F168" s="527" t="s">
        <v>775</v>
      </c>
      <c r="G168" s="519">
        <v>44608</v>
      </c>
      <c r="H168" s="181" t="s">
        <v>3787</v>
      </c>
    </row>
    <row r="169" spans="1:8">
      <c r="A169" s="365">
        <v>167</v>
      </c>
      <c r="B169" s="365" t="s">
        <v>3811</v>
      </c>
      <c r="C169" s="504" t="s">
        <v>3765</v>
      </c>
      <c r="D169" s="365"/>
      <c r="E169" s="527" t="s">
        <v>3817</v>
      </c>
      <c r="F169" s="527" t="s">
        <v>775</v>
      </c>
      <c r="G169" s="519">
        <v>44608</v>
      </c>
      <c r="H169" s="181" t="s">
        <v>3787</v>
      </c>
    </row>
    <row r="170" spans="1:8">
      <c r="A170" s="365">
        <v>168</v>
      </c>
      <c r="B170" s="365" t="s">
        <v>3811</v>
      </c>
      <c r="C170" s="504" t="s">
        <v>3765</v>
      </c>
      <c r="D170" s="365"/>
      <c r="E170" s="527" t="s">
        <v>3818</v>
      </c>
      <c r="F170" s="527" t="s">
        <v>775</v>
      </c>
      <c r="G170" s="519">
        <v>44608</v>
      </c>
      <c r="H170" s="181" t="s">
        <v>3787</v>
      </c>
    </row>
    <row r="171" spans="1:8">
      <c r="A171" s="365">
        <v>169</v>
      </c>
      <c r="B171" s="365" t="s">
        <v>3811</v>
      </c>
      <c r="C171" s="504" t="s">
        <v>3765</v>
      </c>
      <c r="D171" s="365"/>
      <c r="E171" s="527" t="s">
        <v>3819</v>
      </c>
      <c r="F171" s="527" t="s">
        <v>775</v>
      </c>
      <c r="G171" s="528">
        <v>44609</v>
      </c>
      <c r="H171" s="118" t="s">
        <v>3800</v>
      </c>
    </row>
    <row r="172" spans="1:8">
      <c r="A172" s="365">
        <v>170</v>
      </c>
      <c r="B172" s="365" t="s">
        <v>3811</v>
      </c>
      <c r="C172" s="504" t="s">
        <v>3765</v>
      </c>
      <c r="D172" s="365"/>
      <c r="E172" s="527" t="s">
        <v>3820</v>
      </c>
      <c r="F172" s="527" t="s">
        <v>775</v>
      </c>
      <c r="G172" s="528">
        <v>44610</v>
      </c>
      <c r="H172" s="118" t="s">
        <v>3787</v>
      </c>
    </row>
    <row r="173" spans="1:8">
      <c r="A173" s="365">
        <v>171</v>
      </c>
      <c r="B173" s="365" t="s">
        <v>3821</v>
      </c>
      <c r="C173" s="504" t="s">
        <v>3765</v>
      </c>
      <c r="D173" s="365"/>
      <c r="E173" s="529" t="s">
        <v>3822</v>
      </c>
      <c r="F173" s="530" t="s">
        <v>819</v>
      </c>
      <c r="G173" s="519">
        <v>44608</v>
      </c>
      <c r="H173" s="181" t="s">
        <v>3787</v>
      </c>
    </row>
    <row r="174" spans="1:8">
      <c r="A174" s="365">
        <v>172</v>
      </c>
      <c r="B174" s="365" t="s">
        <v>3821</v>
      </c>
      <c r="C174" s="504" t="s">
        <v>3765</v>
      </c>
      <c r="D174" s="365"/>
      <c r="E174" s="529" t="s">
        <v>1133</v>
      </c>
      <c r="F174" s="530" t="s">
        <v>819</v>
      </c>
      <c r="G174" s="519">
        <v>44608</v>
      </c>
      <c r="H174" s="181" t="s">
        <v>3787</v>
      </c>
    </row>
    <row r="175" spans="1:8" ht="16.5">
      <c r="A175" s="365">
        <v>173</v>
      </c>
      <c r="B175" s="365" t="s">
        <v>3821</v>
      </c>
      <c r="C175" s="504" t="s">
        <v>3765</v>
      </c>
      <c r="D175" s="127" t="s">
        <v>3823</v>
      </c>
      <c r="E175" s="529" t="s">
        <v>3824</v>
      </c>
      <c r="F175" s="530" t="s">
        <v>819</v>
      </c>
      <c r="G175" s="519">
        <v>44608</v>
      </c>
      <c r="H175" s="181" t="s">
        <v>3787</v>
      </c>
    </row>
    <row r="176" spans="1:8">
      <c r="A176" s="365">
        <v>174</v>
      </c>
      <c r="B176" s="365" t="s">
        <v>3821</v>
      </c>
      <c r="C176" s="504" t="s">
        <v>3765</v>
      </c>
      <c r="D176" s="365"/>
      <c r="E176" s="529" t="s">
        <v>3825</v>
      </c>
      <c r="F176" s="530" t="s">
        <v>819</v>
      </c>
      <c r="G176" s="519">
        <v>44608</v>
      </c>
      <c r="H176" s="181" t="s">
        <v>3787</v>
      </c>
    </row>
    <row r="177" spans="1:8">
      <c r="A177" s="365">
        <v>175</v>
      </c>
      <c r="B177" s="365" t="s">
        <v>3821</v>
      </c>
      <c r="C177" s="504" t="s">
        <v>3765</v>
      </c>
      <c r="D177" s="365"/>
      <c r="E177" s="529" t="s">
        <v>3826</v>
      </c>
      <c r="F177" s="530" t="s">
        <v>819</v>
      </c>
      <c r="G177" s="519">
        <v>44608</v>
      </c>
      <c r="H177" s="181" t="s">
        <v>3787</v>
      </c>
    </row>
    <row r="178" spans="1:8">
      <c r="A178" s="365">
        <v>176</v>
      </c>
      <c r="B178" s="365" t="s">
        <v>3821</v>
      </c>
      <c r="C178" s="504" t="s">
        <v>3765</v>
      </c>
      <c r="D178" s="365"/>
      <c r="E178" s="529" t="s">
        <v>3827</v>
      </c>
      <c r="F178" s="530" t="s">
        <v>819</v>
      </c>
      <c r="G178" s="519">
        <v>44608</v>
      </c>
      <c r="H178" s="181" t="s">
        <v>3787</v>
      </c>
    </row>
    <row r="179" spans="1:8">
      <c r="A179" s="365">
        <v>177</v>
      </c>
      <c r="B179" s="365" t="s">
        <v>3821</v>
      </c>
      <c r="C179" s="504" t="s">
        <v>3765</v>
      </c>
      <c r="D179" s="365"/>
      <c r="E179" s="531" t="s">
        <v>843</v>
      </c>
      <c r="F179" s="530" t="s">
        <v>845</v>
      </c>
      <c r="G179" s="519">
        <v>44609</v>
      </c>
      <c r="H179" s="181" t="s">
        <v>3800</v>
      </c>
    </row>
    <row r="180" spans="1:8">
      <c r="A180" s="365">
        <v>178</v>
      </c>
      <c r="B180" s="365" t="s">
        <v>3821</v>
      </c>
      <c r="C180" s="504" t="s">
        <v>3765</v>
      </c>
      <c r="D180" s="365"/>
      <c r="E180" s="531" t="s">
        <v>1259</v>
      </c>
      <c r="F180" s="530" t="s">
        <v>851</v>
      </c>
      <c r="G180" s="519">
        <v>44607</v>
      </c>
      <c r="H180" s="181" t="s">
        <v>3800</v>
      </c>
    </row>
    <row r="181" spans="1:8">
      <c r="A181" s="365">
        <v>179</v>
      </c>
      <c r="B181" s="365" t="s">
        <v>3821</v>
      </c>
      <c r="C181" s="504" t="s">
        <v>3765</v>
      </c>
      <c r="D181" s="365"/>
      <c r="E181" s="531" t="s">
        <v>3828</v>
      </c>
      <c r="F181" s="530" t="s">
        <v>851</v>
      </c>
      <c r="G181" s="519">
        <v>44607</v>
      </c>
      <c r="H181" s="181" t="s">
        <v>3800</v>
      </c>
    </row>
    <row r="182" spans="1:8">
      <c r="A182" s="365">
        <v>180</v>
      </c>
      <c r="B182" s="365" t="s">
        <v>3821</v>
      </c>
      <c r="C182" s="504" t="s">
        <v>3765</v>
      </c>
      <c r="D182" s="365" t="s">
        <v>3829</v>
      </c>
      <c r="E182" s="529" t="s">
        <v>3830</v>
      </c>
      <c r="F182" s="530" t="s">
        <v>867</v>
      </c>
      <c r="G182" s="519">
        <v>44608</v>
      </c>
      <c r="H182" s="181" t="s">
        <v>3800</v>
      </c>
    </row>
    <row r="183" spans="1:8">
      <c r="A183" s="365">
        <v>181</v>
      </c>
      <c r="B183" s="365" t="s">
        <v>3821</v>
      </c>
      <c r="C183" s="504" t="s">
        <v>3765</v>
      </c>
      <c r="D183" s="365"/>
      <c r="E183" s="529" t="s">
        <v>3831</v>
      </c>
      <c r="F183" s="530" t="s">
        <v>873</v>
      </c>
      <c r="G183" s="519">
        <v>44608</v>
      </c>
      <c r="H183" s="181" t="s">
        <v>3800</v>
      </c>
    </row>
    <row r="184" spans="1:8">
      <c r="A184" s="365">
        <v>182</v>
      </c>
      <c r="B184" s="365" t="s">
        <v>3821</v>
      </c>
      <c r="C184" s="504" t="s">
        <v>3765</v>
      </c>
      <c r="D184" s="365"/>
      <c r="E184" s="531" t="s">
        <v>3832</v>
      </c>
      <c r="F184" s="530" t="s">
        <v>879</v>
      </c>
      <c r="G184" s="519">
        <v>44608</v>
      </c>
      <c r="H184" s="181" t="s">
        <v>3800</v>
      </c>
    </row>
    <row r="185" spans="1:8">
      <c r="A185" s="365">
        <v>183</v>
      </c>
      <c r="B185" s="365" t="s">
        <v>3821</v>
      </c>
      <c r="C185" s="504" t="s">
        <v>3765</v>
      </c>
      <c r="D185" s="365"/>
      <c r="E185" s="531" t="s">
        <v>3833</v>
      </c>
      <c r="F185" s="530" t="s">
        <v>879</v>
      </c>
      <c r="G185" s="519">
        <v>44608</v>
      </c>
      <c r="H185" s="181" t="s">
        <v>3800</v>
      </c>
    </row>
    <row r="186" spans="1:8">
      <c r="A186" s="365">
        <v>184</v>
      </c>
      <c r="B186" s="365" t="s">
        <v>3821</v>
      </c>
      <c r="C186" s="504" t="s">
        <v>3765</v>
      </c>
      <c r="D186" s="365"/>
      <c r="E186" s="531" t="s">
        <v>3834</v>
      </c>
      <c r="F186" s="530" t="s">
        <v>889</v>
      </c>
      <c r="G186" s="519">
        <v>44608</v>
      </c>
      <c r="H186" s="181" t="s">
        <v>3800</v>
      </c>
    </row>
    <row r="187" spans="1:8">
      <c r="A187" s="365">
        <v>185</v>
      </c>
      <c r="B187" s="365" t="s">
        <v>3821</v>
      </c>
      <c r="C187" s="504" t="s">
        <v>3765</v>
      </c>
      <c r="D187" s="365"/>
      <c r="E187" s="531" t="s">
        <v>3835</v>
      </c>
      <c r="F187" s="530" t="s">
        <v>889</v>
      </c>
      <c r="G187" s="519">
        <v>44608</v>
      </c>
      <c r="H187" s="181" t="s">
        <v>3800</v>
      </c>
    </row>
    <row r="188" spans="1:8">
      <c r="A188" s="365">
        <v>186</v>
      </c>
      <c r="B188" s="365" t="s">
        <v>3821</v>
      </c>
      <c r="C188" s="504" t="s">
        <v>3765</v>
      </c>
      <c r="D188" s="365"/>
      <c r="E188" s="531" t="s">
        <v>3836</v>
      </c>
      <c r="F188" s="530" t="s">
        <v>899</v>
      </c>
      <c r="G188" s="519">
        <v>44608</v>
      </c>
      <c r="H188" s="181" t="s">
        <v>3800</v>
      </c>
    </row>
    <row r="189" spans="1:8">
      <c r="A189" s="365">
        <v>187</v>
      </c>
      <c r="B189" s="365" t="s">
        <v>3821</v>
      </c>
      <c r="C189" s="504" t="s">
        <v>3765</v>
      </c>
      <c r="D189" s="365"/>
      <c r="E189" s="531" t="s">
        <v>3837</v>
      </c>
      <c r="F189" s="530" t="s">
        <v>899</v>
      </c>
      <c r="G189" s="519">
        <v>44608</v>
      </c>
      <c r="H189" s="181" t="s">
        <v>3800</v>
      </c>
    </row>
    <row r="190" spans="1:8">
      <c r="A190" s="365">
        <v>188</v>
      </c>
      <c r="B190" s="365" t="s">
        <v>3821</v>
      </c>
      <c r="C190" s="504" t="s">
        <v>3765</v>
      </c>
      <c r="D190" s="365"/>
      <c r="E190" s="531" t="s">
        <v>3838</v>
      </c>
      <c r="F190" s="530" t="s">
        <v>899</v>
      </c>
      <c r="G190" s="519">
        <v>44608</v>
      </c>
      <c r="H190" s="181" t="s">
        <v>3800</v>
      </c>
    </row>
    <row r="191" spans="1:8">
      <c r="A191" s="365">
        <v>189</v>
      </c>
      <c r="B191" s="365" t="s">
        <v>3821</v>
      </c>
      <c r="C191" s="504" t="s">
        <v>3765</v>
      </c>
      <c r="D191" s="365"/>
      <c r="E191" s="531" t="s">
        <v>1251</v>
      </c>
      <c r="F191" s="530" t="s">
        <v>899</v>
      </c>
      <c r="G191" s="519">
        <v>44608</v>
      </c>
      <c r="H191" s="181" t="s">
        <v>3800</v>
      </c>
    </row>
    <row r="192" spans="1:8">
      <c r="A192" s="365">
        <v>190</v>
      </c>
      <c r="B192" s="365" t="s">
        <v>3821</v>
      </c>
      <c r="C192" s="504" t="s">
        <v>3765</v>
      </c>
      <c r="D192" s="365"/>
      <c r="E192" s="531" t="s">
        <v>3839</v>
      </c>
      <c r="F192" s="530" t="s">
        <v>917</v>
      </c>
      <c r="G192" s="519">
        <v>44608</v>
      </c>
      <c r="H192" s="181" t="s">
        <v>3800</v>
      </c>
    </row>
    <row r="193" spans="1:8">
      <c r="A193" s="365">
        <v>191</v>
      </c>
      <c r="B193" s="365" t="s">
        <v>3821</v>
      </c>
      <c r="C193" s="504" t="s">
        <v>3765</v>
      </c>
      <c r="D193" s="365"/>
      <c r="E193" s="531" t="s">
        <v>1242</v>
      </c>
      <c r="F193" s="530" t="s">
        <v>917</v>
      </c>
      <c r="G193" s="519">
        <v>44608</v>
      </c>
      <c r="H193" s="181" t="s">
        <v>3800</v>
      </c>
    </row>
    <row r="194" spans="1:8">
      <c r="A194" s="365">
        <v>192</v>
      </c>
      <c r="B194" s="365" t="s">
        <v>3821</v>
      </c>
      <c r="C194" s="504" t="s">
        <v>3765</v>
      </c>
      <c r="D194" s="365"/>
      <c r="E194" s="531" t="s">
        <v>1244</v>
      </c>
      <c r="F194" s="530" t="s">
        <v>917</v>
      </c>
      <c r="G194" s="519">
        <v>44608</v>
      </c>
      <c r="H194" s="181" t="s">
        <v>3800</v>
      </c>
    </row>
    <row r="195" spans="1:8">
      <c r="A195" s="365">
        <v>193</v>
      </c>
      <c r="B195" s="365" t="s">
        <v>3821</v>
      </c>
      <c r="C195" s="504" t="s">
        <v>3765</v>
      </c>
      <c r="D195" s="365"/>
      <c r="E195" s="531" t="s">
        <v>3840</v>
      </c>
      <c r="F195" s="530" t="s">
        <v>917</v>
      </c>
      <c r="G195" s="519">
        <v>44608</v>
      </c>
      <c r="H195" s="181" t="s">
        <v>3800</v>
      </c>
    </row>
    <row r="196" spans="1:8">
      <c r="A196" s="365">
        <v>194</v>
      </c>
      <c r="B196" s="365" t="s">
        <v>3821</v>
      </c>
      <c r="C196" s="504" t="s">
        <v>3765</v>
      </c>
      <c r="D196" s="365"/>
      <c r="E196" s="531" t="s">
        <v>1243</v>
      </c>
      <c r="F196" s="530" t="s">
        <v>917</v>
      </c>
      <c r="G196" s="519">
        <v>44608</v>
      </c>
      <c r="H196" s="181" t="s">
        <v>3800</v>
      </c>
    </row>
    <row r="197" spans="1:8">
      <c r="A197" s="365">
        <v>195</v>
      </c>
      <c r="B197" s="365" t="s">
        <v>3821</v>
      </c>
      <c r="C197" s="504" t="s">
        <v>3765</v>
      </c>
      <c r="D197" s="365"/>
      <c r="E197" s="531" t="s">
        <v>3578</v>
      </c>
      <c r="F197" s="530" t="s">
        <v>939</v>
      </c>
      <c r="G197" s="519">
        <v>44609</v>
      </c>
      <c r="H197" s="181" t="s">
        <v>3787</v>
      </c>
    </row>
    <row r="198" spans="1:8">
      <c r="A198" s="365">
        <v>196</v>
      </c>
      <c r="B198" s="365" t="s">
        <v>3821</v>
      </c>
      <c r="C198" s="504" t="s">
        <v>3765</v>
      </c>
      <c r="D198" s="365"/>
      <c r="E198" s="531" t="s">
        <v>3841</v>
      </c>
      <c r="F198" s="530" t="s">
        <v>939</v>
      </c>
      <c r="G198" s="519">
        <v>44609</v>
      </c>
      <c r="H198" s="181" t="s">
        <v>3787</v>
      </c>
    </row>
    <row r="199" spans="1:8">
      <c r="A199" s="365">
        <v>197</v>
      </c>
      <c r="B199" s="365" t="s">
        <v>3821</v>
      </c>
      <c r="C199" s="504" t="s">
        <v>3765</v>
      </c>
      <c r="D199" s="365"/>
      <c r="E199" s="531" t="s">
        <v>3842</v>
      </c>
      <c r="F199" s="530" t="s">
        <v>939</v>
      </c>
      <c r="G199" s="519">
        <v>44609</v>
      </c>
      <c r="H199" s="181" t="s">
        <v>3787</v>
      </c>
    </row>
    <row r="200" spans="1:8">
      <c r="A200" s="365">
        <v>198</v>
      </c>
      <c r="B200" s="365" t="s">
        <v>3821</v>
      </c>
      <c r="C200" s="504" t="s">
        <v>3765</v>
      </c>
      <c r="D200" s="365"/>
      <c r="E200" s="531" t="s">
        <v>951</v>
      </c>
      <c r="F200" s="530" t="s">
        <v>939</v>
      </c>
      <c r="G200" s="519">
        <v>44609</v>
      </c>
      <c r="H200" s="181" t="s">
        <v>3787</v>
      </c>
    </row>
    <row r="201" spans="1:8">
      <c r="A201" s="365">
        <v>199</v>
      </c>
      <c r="B201" s="365" t="s">
        <v>3821</v>
      </c>
      <c r="C201" s="504" t="s">
        <v>3765</v>
      </c>
      <c r="D201" s="365"/>
      <c r="E201" s="531" t="s">
        <v>3843</v>
      </c>
      <c r="F201" s="530" t="s">
        <v>939</v>
      </c>
      <c r="G201" s="519">
        <v>44609</v>
      </c>
      <c r="H201" s="181" t="s">
        <v>3787</v>
      </c>
    </row>
    <row r="202" spans="1:8">
      <c r="A202" s="365">
        <v>200</v>
      </c>
      <c r="B202" s="365" t="s">
        <v>3821</v>
      </c>
      <c r="C202" s="504" t="s">
        <v>3765</v>
      </c>
      <c r="D202" s="365"/>
      <c r="E202" s="532" t="s">
        <v>3844</v>
      </c>
      <c r="F202" s="530" t="s">
        <v>939</v>
      </c>
      <c r="G202" s="519">
        <v>44609</v>
      </c>
      <c r="H202" s="181" t="s">
        <v>3787</v>
      </c>
    </row>
    <row r="203" spans="1:8">
      <c r="A203" s="365">
        <v>201</v>
      </c>
      <c r="B203" s="365" t="s">
        <v>3821</v>
      </c>
      <c r="C203" s="504" t="s">
        <v>3765</v>
      </c>
      <c r="D203" s="365"/>
      <c r="E203" s="532" t="s">
        <v>3845</v>
      </c>
      <c r="F203" s="530" t="s">
        <v>939</v>
      </c>
      <c r="G203" s="519">
        <v>44609</v>
      </c>
      <c r="H203" s="181" t="s">
        <v>3787</v>
      </c>
    </row>
    <row r="204" spans="1:8">
      <c r="A204" s="365">
        <v>202</v>
      </c>
      <c r="B204" s="365" t="s">
        <v>3821</v>
      </c>
      <c r="C204" s="504" t="s">
        <v>3765</v>
      </c>
      <c r="D204" s="365"/>
      <c r="E204" s="532" t="s">
        <v>3846</v>
      </c>
      <c r="F204" s="533" t="s">
        <v>939</v>
      </c>
      <c r="G204" s="519">
        <v>44609</v>
      </c>
      <c r="H204" s="181" t="s">
        <v>3787</v>
      </c>
    </row>
    <row r="205" spans="1:8">
      <c r="A205" s="365">
        <v>203</v>
      </c>
      <c r="B205" s="365" t="s">
        <v>3821</v>
      </c>
      <c r="C205" s="504" t="s">
        <v>3765</v>
      </c>
      <c r="D205" s="365"/>
      <c r="E205" s="534" t="s">
        <v>3847</v>
      </c>
      <c r="F205" s="532" t="s">
        <v>861</v>
      </c>
      <c r="G205" s="519">
        <v>44609</v>
      </c>
      <c r="H205" s="181" t="s">
        <v>3787</v>
      </c>
    </row>
    <row r="206" spans="1:8">
      <c r="A206" s="365">
        <v>204</v>
      </c>
      <c r="B206" s="365" t="s">
        <v>3821</v>
      </c>
      <c r="C206" s="504" t="s">
        <v>3765</v>
      </c>
      <c r="D206" s="365"/>
      <c r="E206" s="534" t="s">
        <v>975</v>
      </c>
      <c r="F206" s="532" t="s">
        <v>861</v>
      </c>
      <c r="G206" s="519">
        <v>44609</v>
      </c>
      <c r="H206" s="181" t="s">
        <v>3787</v>
      </c>
    </row>
    <row r="207" spans="1:8">
      <c r="A207" s="365">
        <v>205</v>
      </c>
      <c r="B207" s="365" t="s">
        <v>3821</v>
      </c>
      <c r="C207" s="504" t="s">
        <v>3765</v>
      </c>
      <c r="D207" s="365"/>
      <c r="E207" s="534" t="s">
        <v>979</v>
      </c>
      <c r="F207" s="532" t="s">
        <v>861</v>
      </c>
      <c r="G207" s="519">
        <v>44609</v>
      </c>
      <c r="H207" s="181" t="s">
        <v>3787</v>
      </c>
    </row>
    <row r="208" spans="1:8">
      <c r="A208" s="365">
        <v>206</v>
      </c>
      <c r="B208" s="365" t="s">
        <v>3821</v>
      </c>
      <c r="C208" s="504" t="s">
        <v>3765</v>
      </c>
      <c r="D208" s="365"/>
      <c r="E208" s="534" t="s">
        <v>983</v>
      </c>
      <c r="F208" s="532" t="s">
        <v>861</v>
      </c>
      <c r="G208" s="519">
        <v>44609</v>
      </c>
      <c r="H208" s="181" t="s">
        <v>3787</v>
      </c>
    </row>
    <row r="209" spans="1:8">
      <c r="A209" s="365">
        <v>207</v>
      </c>
      <c r="B209" s="365" t="s">
        <v>3821</v>
      </c>
      <c r="C209" s="504" t="s">
        <v>3765</v>
      </c>
      <c r="D209" s="365"/>
      <c r="E209" s="534" t="s">
        <v>987</v>
      </c>
      <c r="F209" s="532" t="s">
        <v>861</v>
      </c>
      <c r="G209" s="519">
        <v>44609</v>
      </c>
      <c r="H209" s="181" t="s">
        <v>3787</v>
      </c>
    </row>
    <row r="210" spans="1:8">
      <c r="A210" s="365">
        <v>208</v>
      </c>
      <c r="B210" s="365" t="s">
        <v>3821</v>
      </c>
      <c r="C210" s="504" t="s">
        <v>3765</v>
      </c>
      <c r="D210" s="365"/>
      <c r="E210" s="534" t="s">
        <v>991</v>
      </c>
      <c r="F210" s="532" t="s">
        <v>861</v>
      </c>
      <c r="G210" s="519">
        <v>44609</v>
      </c>
      <c r="H210" s="181" t="s">
        <v>3787</v>
      </c>
    </row>
    <row r="211" spans="1:8">
      <c r="A211" s="365">
        <v>209</v>
      </c>
      <c r="B211" s="365" t="s">
        <v>3821</v>
      </c>
      <c r="C211" s="504" t="s">
        <v>3765</v>
      </c>
      <c r="D211" s="126" t="s">
        <v>3593</v>
      </c>
      <c r="E211" s="529" t="s">
        <v>3848</v>
      </c>
      <c r="F211" s="530" t="s">
        <v>861</v>
      </c>
      <c r="G211" s="519">
        <v>44609</v>
      </c>
      <c r="H211" s="181" t="s">
        <v>3787</v>
      </c>
    </row>
    <row r="212" spans="1:8">
      <c r="A212" s="365">
        <v>210</v>
      </c>
      <c r="B212" s="365" t="s">
        <v>3821</v>
      </c>
      <c r="C212" s="504" t="s">
        <v>3765</v>
      </c>
      <c r="D212" s="365"/>
      <c r="E212" s="531" t="s">
        <v>1228</v>
      </c>
      <c r="F212" s="530" t="s">
        <v>997</v>
      </c>
      <c r="G212" s="519">
        <v>44609</v>
      </c>
      <c r="H212" s="118" t="s">
        <v>3800</v>
      </c>
    </row>
    <row r="213" spans="1:8">
      <c r="A213" s="365">
        <v>211</v>
      </c>
      <c r="B213" s="365" t="s">
        <v>3821</v>
      </c>
      <c r="C213" s="504" t="s">
        <v>3765</v>
      </c>
      <c r="D213" s="365"/>
      <c r="E213" s="531" t="s">
        <v>3849</v>
      </c>
      <c r="F213" s="530" t="s">
        <v>997</v>
      </c>
      <c r="G213" s="519">
        <v>44609</v>
      </c>
      <c r="H213" s="118" t="s">
        <v>3800</v>
      </c>
    </row>
    <row r="214" spans="1:8">
      <c r="A214" s="365">
        <v>212</v>
      </c>
      <c r="B214" s="365" t="s">
        <v>3821</v>
      </c>
      <c r="C214" s="504" t="s">
        <v>3765</v>
      </c>
      <c r="D214" s="365"/>
      <c r="E214" s="531" t="s">
        <v>3850</v>
      </c>
      <c r="F214" s="530" t="s">
        <v>997</v>
      </c>
      <c r="G214" s="519">
        <v>44609</v>
      </c>
      <c r="H214" s="118" t="s">
        <v>3800</v>
      </c>
    </row>
    <row r="215" spans="1:8" s="118" customFormat="1">
      <c r="A215" s="365">
        <v>213</v>
      </c>
      <c r="B215" s="535" t="s">
        <v>3851</v>
      </c>
      <c r="C215" s="536" t="s">
        <v>3765</v>
      </c>
      <c r="D215" s="365"/>
      <c r="E215" s="537" t="s">
        <v>3852</v>
      </c>
      <c r="F215" s="538" t="s">
        <v>1011</v>
      </c>
      <c r="G215" s="528">
        <v>44609</v>
      </c>
      <c r="H215" s="118" t="s">
        <v>3800</v>
      </c>
    </row>
    <row r="216" spans="1:8">
      <c r="A216" s="365">
        <v>214</v>
      </c>
      <c r="B216" s="535" t="s">
        <v>3853</v>
      </c>
      <c r="C216" s="504" t="s">
        <v>3765</v>
      </c>
      <c r="D216" s="365"/>
      <c r="E216" s="539" t="s">
        <v>3854</v>
      </c>
      <c r="F216" s="540" t="s">
        <v>387</v>
      </c>
      <c r="G216" s="528">
        <v>44609</v>
      </c>
      <c r="H216" s="118" t="s">
        <v>3800</v>
      </c>
    </row>
    <row r="217" spans="1:8">
      <c r="A217" s="365">
        <v>215</v>
      </c>
      <c r="B217" s="535" t="s">
        <v>3853</v>
      </c>
      <c r="C217" s="504" t="s">
        <v>3765</v>
      </c>
      <c r="D217" s="365"/>
      <c r="E217" s="539" t="s">
        <v>3855</v>
      </c>
      <c r="F217" s="540" t="s">
        <v>1017</v>
      </c>
      <c r="G217" s="528">
        <v>44609</v>
      </c>
      <c r="H217" s="118" t="s">
        <v>3800</v>
      </c>
    </row>
    <row r="218" spans="1:8">
      <c r="A218" s="365">
        <v>216</v>
      </c>
      <c r="B218" s="535" t="s">
        <v>3853</v>
      </c>
      <c r="C218" s="504" t="s">
        <v>3765</v>
      </c>
      <c r="D218" s="365"/>
      <c r="E218" s="539" t="s">
        <v>3856</v>
      </c>
      <c r="F218" s="540" t="s">
        <v>1017</v>
      </c>
      <c r="G218" s="528">
        <v>44609</v>
      </c>
      <c r="H218" s="118" t="s">
        <v>3800</v>
      </c>
    </row>
    <row r="219" spans="1:8">
      <c r="A219" s="365">
        <v>217</v>
      </c>
      <c r="B219" s="535" t="s">
        <v>3853</v>
      </c>
      <c r="C219" s="504" t="s">
        <v>3765</v>
      </c>
      <c r="D219" s="365"/>
      <c r="E219" s="539" t="s">
        <v>3857</v>
      </c>
      <c r="F219" s="540" t="s">
        <v>1017</v>
      </c>
      <c r="G219" s="528">
        <v>44609</v>
      </c>
      <c r="H219" s="118" t="s">
        <v>3800</v>
      </c>
    </row>
    <row r="220" spans="1:8">
      <c r="A220" s="365">
        <v>218</v>
      </c>
      <c r="B220" s="535" t="s">
        <v>3853</v>
      </c>
      <c r="C220" s="504" t="s">
        <v>3765</v>
      </c>
      <c r="D220" s="365"/>
      <c r="E220" s="539" t="s">
        <v>3858</v>
      </c>
      <c r="F220" s="540" t="s">
        <v>1017</v>
      </c>
      <c r="G220" s="528">
        <v>44609</v>
      </c>
      <c r="H220" s="118" t="s">
        <v>3800</v>
      </c>
    </row>
    <row r="221" spans="1:8">
      <c r="A221" s="365">
        <v>219</v>
      </c>
      <c r="B221" s="535" t="s">
        <v>3853</v>
      </c>
      <c r="C221" s="504" t="s">
        <v>3765</v>
      </c>
      <c r="D221" s="365"/>
      <c r="E221" s="539" t="s">
        <v>1038</v>
      </c>
      <c r="F221" s="541" t="s">
        <v>1040</v>
      </c>
      <c r="G221" s="528">
        <v>44609</v>
      </c>
      <c r="H221" s="118" t="s">
        <v>3800</v>
      </c>
    </row>
    <row r="222" spans="1:8">
      <c r="A222" s="365">
        <v>220</v>
      </c>
      <c r="B222" s="535" t="s">
        <v>3853</v>
      </c>
      <c r="C222" s="504" t="s">
        <v>3765</v>
      </c>
      <c r="D222" s="365"/>
      <c r="E222" s="539" t="s">
        <v>3859</v>
      </c>
      <c r="F222" s="541" t="s">
        <v>1046</v>
      </c>
      <c r="G222" s="528">
        <v>44609</v>
      </c>
      <c r="H222" s="118" t="s">
        <v>3800</v>
      </c>
    </row>
    <row r="223" spans="1:8">
      <c r="A223" s="365">
        <v>221</v>
      </c>
      <c r="B223" s="535" t="s">
        <v>3853</v>
      </c>
      <c r="C223" s="504" t="s">
        <v>3765</v>
      </c>
      <c r="D223" s="365"/>
      <c r="E223" s="539" t="s">
        <v>3860</v>
      </c>
      <c r="F223" s="541" t="s">
        <v>1040</v>
      </c>
      <c r="G223" s="528">
        <v>44609</v>
      </c>
      <c r="H223" s="118" t="s">
        <v>3800</v>
      </c>
    </row>
    <row r="224" spans="1:8">
      <c r="A224" s="365">
        <v>222</v>
      </c>
      <c r="B224" s="535" t="s">
        <v>3853</v>
      </c>
      <c r="C224" s="504" t="s">
        <v>3765</v>
      </c>
      <c r="D224" s="365"/>
      <c r="E224" s="539" t="s">
        <v>3861</v>
      </c>
      <c r="F224" s="542" t="s">
        <v>1046</v>
      </c>
      <c r="G224" s="528">
        <v>44609</v>
      </c>
      <c r="H224" s="118" t="s">
        <v>3800</v>
      </c>
    </row>
    <row r="225" spans="1:8">
      <c r="A225" s="365">
        <v>223</v>
      </c>
      <c r="B225" s="535" t="s">
        <v>3862</v>
      </c>
      <c r="C225" s="504" t="s">
        <v>3765</v>
      </c>
      <c r="D225" s="365"/>
      <c r="E225" s="365" t="s">
        <v>3863</v>
      </c>
      <c r="F225" s="365" t="s">
        <v>1171</v>
      </c>
      <c r="G225" s="528">
        <v>44610</v>
      </c>
      <c r="H225" s="118" t="s">
        <v>3787</v>
      </c>
    </row>
    <row r="226" spans="1:8">
      <c r="A226" s="365">
        <v>224</v>
      </c>
      <c r="B226" s="535" t="s">
        <v>3862</v>
      </c>
      <c r="C226" s="504" t="s">
        <v>3765</v>
      </c>
      <c r="D226" s="365"/>
      <c r="E226" s="365" t="s">
        <v>3864</v>
      </c>
      <c r="F226" s="365" t="s">
        <v>1171</v>
      </c>
      <c r="G226" s="528">
        <v>44610</v>
      </c>
      <c r="H226" s="118" t="s">
        <v>3787</v>
      </c>
    </row>
    <row r="227" spans="1:8">
      <c r="A227" s="365">
        <v>225</v>
      </c>
      <c r="B227" s="535" t="s">
        <v>3862</v>
      </c>
      <c r="C227" s="504" t="s">
        <v>3765</v>
      </c>
      <c r="D227" s="365"/>
      <c r="E227" s="365" t="s">
        <v>3865</v>
      </c>
      <c r="F227" s="365" t="s">
        <v>3866</v>
      </c>
      <c r="G227" s="528">
        <v>44610</v>
      </c>
      <c r="H227" s="118" t="s">
        <v>3787</v>
      </c>
    </row>
    <row r="228" spans="1:8">
      <c r="A228" s="365">
        <v>226</v>
      </c>
      <c r="B228" s="535" t="s">
        <v>3862</v>
      </c>
      <c r="C228" s="504" t="s">
        <v>3765</v>
      </c>
      <c r="D228" s="365"/>
      <c r="E228" s="365" t="s">
        <v>3867</v>
      </c>
      <c r="F228" s="365" t="s">
        <v>3866</v>
      </c>
      <c r="G228" s="528">
        <v>44610</v>
      </c>
      <c r="H228" s="118" t="s">
        <v>3787</v>
      </c>
    </row>
    <row r="229" spans="1:8">
      <c r="A229" s="365">
        <v>227</v>
      </c>
      <c r="B229" s="535" t="s">
        <v>3862</v>
      </c>
      <c r="C229" s="504" t="s">
        <v>3765</v>
      </c>
      <c r="D229" s="365"/>
      <c r="E229" s="365" t="s">
        <v>3868</v>
      </c>
      <c r="F229" s="365" t="s">
        <v>3866</v>
      </c>
      <c r="G229" s="528">
        <v>44610</v>
      </c>
      <c r="H229" s="118" t="s">
        <v>3787</v>
      </c>
    </row>
    <row r="230" spans="1:8">
      <c r="A230" s="365">
        <v>228</v>
      </c>
      <c r="B230" s="535" t="s">
        <v>3862</v>
      </c>
      <c r="C230" s="504" t="s">
        <v>3765</v>
      </c>
      <c r="D230" s="365"/>
      <c r="E230" s="365" t="s">
        <v>3869</v>
      </c>
      <c r="F230" s="365" t="s">
        <v>3866</v>
      </c>
      <c r="G230" s="528">
        <v>44610</v>
      </c>
      <c r="H230" s="118" t="s">
        <v>3787</v>
      </c>
    </row>
    <row r="231" spans="1:8">
      <c r="A231" s="365">
        <v>229</v>
      </c>
      <c r="B231" s="535" t="s">
        <v>3862</v>
      </c>
      <c r="C231" s="504" t="s">
        <v>3765</v>
      </c>
      <c r="D231" s="365"/>
      <c r="E231" s="365" t="s">
        <v>3870</v>
      </c>
      <c r="F231" s="365" t="s">
        <v>3866</v>
      </c>
      <c r="G231" s="528">
        <v>44610</v>
      </c>
      <c r="H231" s="118" t="s">
        <v>3787</v>
      </c>
    </row>
    <row r="232" spans="1:8">
      <c r="A232" s="365">
        <v>230</v>
      </c>
      <c r="B232" s="535" t="s">
        <v>3862</v>
      </c>
      <c r="C232" s="504" t="s">
        <v>3765</v>
      </c>
      <c r="D232" s="365"/>
      <c r="E232" s="365" t="s">
        <v>3871</v>
      </c>
      <c r="F232" s="365" t="s">
        <v>3866</v>
      </c>
      <c r="G232" s="528">
        <v>44610</v>
      </c>
      <c r="H232" s="118" t="s">
        <v>3787</v>
      </c>
    </row>
  </sheetData>
  <sortState xmlns:xlrd2="http://schemas.microsoft.com/office/spreadsheetml/2017/richdata2" ref="A3:H77">
    <sortCondition ref="G18"/>
  </sortState>
  <mergeCells count="1">
    <mergeCell ref="A1:H1"/>
  </mergeCells>
  <phoneticPr fontId="69" type="noConversion"/>
  <pageMargins left="0.7" right="0.7" top="0.75" bottom="0.75" header="0.3" footer="0.3"/>
  <pageSetup orientation="portrait" r:id="rId1"/>
  <headerFooter>
    <oddHeader>&amp;L&amp;"Calibri"&amp;10&amp;K000000 INTERNAL&amp;1#_x000D_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K1048576"/>
  <sheetViews>
    <sheetView topLeftCell="A189" zoomScale="70" zoomScaleNormal="70" workbookViewId="0">
      <selection activeCell="H206" sqref="H206"/>
    </sheetView>
  </sheetViews>
  <sheetFormatPr defaultColWidth="9.1796875" defaultRowHeight="14.5"/>
  <cols>
    <col min="1" max="1" width="12.453125" customWidth="1"/>
    <col min="2" max="2" width="20.453125" customWidth="1"/>
    <col min="3" max="3" width="20.453125" style="18" customWidth="1"/>
    <col min="4" max="4" width="33.1796875" customWidth="1"/>
    <col min="5" max="5" width="58.1796875" customWidth="1"/>
    <col min="6" max="6" width="40.1796875" customWidth="1"/>
    <col min="7" max="7" width="30.453125" customWidth="1"/>
    <col min="8" max="8" width="30" customWidth="1"/>
    <col min="9" max="9" width="35.453125" customWidth="1"/>
    <col min="11" max="11" width="22.1796875" customWidth="1"/>
  </cols>
  <sheetData>
    <row r="1" spans="1:11" ht="41.25" customHeight="1">
      <c r="A1" s="181"/>
      <c r="B1" s="181"/>
      <c r="D1" s="181"/>
      <c r="E1" s="181"/>
      <c r="F1" s="181"/>
      <c r="G1" s="181"/>
      <c r="H1" s="181"/>
      <c r="I1" s="181"/>
      <c r="J1" s="181"/>
      <c r="K1" s="181"/>
    </row>
    <row r="2" spans="1:11" ht="31">
      <c r="A2" s="423" t="s">
        <v>1</v>
      </c>
      <c r="B2" s="423" t="s">
        <v>3872</v>
      </c>
      <c r="C2" s="543" t="s">
        <v>3873</v>
      </c>
      <c r="D2" s="424" t="s">
        <v>3874</v>
      </c>
      <c r="E2" s="423" t="s">
        <v>3875</v>
      </c>
      <c r="F2" s="423" t="s">
        <v>3876</v>
      </c>
      <c r="G2" s="423" t="s">
        <v>8</v>
      </c>
      <c r="H2" s="423" t="s">
        <v>9</v>
      </c>
      <c r="I2" s="5" t="s">
        <v>3877</v>
      </c>
      <c r="J2" s="423" t="s">
        <v>10</v>
      </c>
      <c r="K2" s="423" t="s">
        <v>3878</v>
      </c>
    </row>
    <row r="3" spans="1:11" hidden="1">
      <c r="A3" s="365">
        <v>1</v>
      </c>
      <c r="B3" s="365" t="str">
        <f>Allg.!C3</f>
        <v>Zhang, Peng</v>
      </c>
      <c r="C3" s="427" t="str">
        <f>Allg.!B3</f>
        <v>张鹏</v>
      </c>
      <c r="D3" s="365" t="str">
        <f>Allg.!D3</f>
        <v>220105199607180415</v>
      </c>
      <c r="E3" s="365" t="str">
        <f>Allg.!G3</f>
        <v>InPro (Shanghai) Automation Technology Co.,Ltd</v>
      </c>
      <c r="F3" s="365" t="str">
        <f>Allg.!F3</f>
        <v>茵铺锣（上海）自动化科技有限公司</v>
      </c>
      <c r="G3" s="365" t="str">
        <f>Allg.!H3</f>
        <v>VKRC4 KUKA</v>
      </c>
      <c r="H3" s="544">
        <f>Allg.!I3</f>
        <v>43965</v>
      </c>
      <c r="I3" s="544">
        <f>DATE(YEAR(H3)+3,MONTH(H3),DAY(H3))</f>
        <v>45060</v>
      </c>
      <c r="J3" s="365" t="str">
        <f>Allg.!J3</f>
        <v>Pass</v>
      </c>
      <c r="K3" s="545">
        <v>44063.68109953704</v>
      </c>
    </row>
    <row r="4" spans="1:11" hidden="1">
      <c r="A4" s="365">
        <v>2</v>
      </c>
      <c r="B4" s="365" t="str">
        <f>Allg.!C4</f>
        <v>Zhang Shengji</v>
      </c>
      <c r="C4" s="427" t="str">
        <f>Allg.!B4</f>
        <v>张圣吉</v>
      </c>
      <c r="D4" s="365" t="str">
        <f>Allg.!D4</f>
        <v>340322198802058431</v>
      </c>
      <c r="E4" s="365" t="str">
        <f>Allg.!G4</f>
        <v>InPro (Shanghai) Automation Technology Co.,Ltd</v>
      </c>
      <c r="F4" s="365" t="str">
        <f>Allg.!F4</f>
        <v>茵铺锣（上海）自动化科技有限公司</v>
      </c>
      <c r="G4" s="365" t="str">
        <f>Allg.!H4</f>
        <v>VKRC4 KUKA</v>
      </c>
      <c r="H4" s="544">
        <f>Allg.!I4</f>
        <v>43965</v>
      </c>
      <c r="I4" s="544">
        <f t="shared" ref="I4:I59" si="0">DATE(YEAR(H4)+3,MONTH(H4),DAY(H4))</f>
        <v>45060</v>
      </c>
      <c r="J4" s="365" t="str">
        <f>Allg.!J4</f>
        <v>Pass</v>
      </c>
      <c r="K4" s="545">
        <v>44063.681273148148</v>
      </c>
    </row>
    <row r="5" spans="1:11" hidden="1">
      <c r="A5" s="365">
        <v>3</v>
      </c>
      <c r="B5" s="365" t="str">
        <f>Allg.!C5</f>
        <v>Zhou Lichao</v>
      </c>
      <c r="C5" s="427" t="str">
        <f>Allg.!B5</f>
        <v>周立超</v>
      </c>
      <c r="D5" s="365" t="str">
        <f>Allg.!D5</f>
        <v>220381198908256017</v>
      </c>
      <c r="E5" s="365" t="str">
        <f>Allg.!G5</f>
        <v>InPro (Shanghai) Automation Technology Co.,Ltd</v>
      </c>
      <c r="F5" s="365" t="str">
        <f>Allg.!F5</f>
        <v>茵铺锣（上海）自动化科技有限公司</v>
      </c>
      <c r="G5" s="365" t="str">
        <f>Allg.!H5</f>
        <v>VKRC4 KUKA</v>
      </c>
      <c r="H5" s="544">
        <f>Allg.!I5</f>
        <v>43965</v>
      </c>
      <c r="I5" s="544">
        <f t="shared" si="0"/>
        <v>45060</v>
      </c>
      <c r="J5" s="365" t="str">
        <f>Allg.!J5</f>
        <v>Pass</v>
      </c>
      <c r="K5" s="545">
        <v>44063.681446759256</v>
      </c>
    </row>
    <row r="6" spans="1:11" hidden="1">
      <c r="A6" s="365">
        <v>4</v>
      </c>
      <c r="B6" s="365" t="str">
        <f>Allg.!C6</f>
        <v>Johan Louw</v>
      </c>
      <c r="C6" s="427">
        <f>Allg.!B6</f>
        <v>0</v>
      </c>
      <c r="D6" s="365" t="str">
        <f>Allg.!D6</f>
        <v>M00296052</v>
      </c>
      <c r="E6" s="365" t="str">
        <f>Allg.!G6</f>
        <v>InPro (Shanghai) Automation Technology Co.,Ltd</v>
      </c>
      <c r="F6" s="365" t="str">
        <f>Allg.!F6</f>
        <v>茵铺锣（上海）自动化科技有限公司</v>
      </c>
      <c r="G6" s="365" t="str">
        <f>Allg.!H6</f>
        <v>VKRC4 KUKA</v>
      </c>
      <c r="H6" s="544">
        <f>Allg.!I6</f>
        <v>43965</v>
      </c>
      <c r="I6" s="544">
        <f t="shared" si="0"/>
        <v>45060</v>
      </c>
      <c r="J6" s="365" t="str">
        <f>Allg.!J6</f>
        <v>Pass</v>
      </c>
      <c r="K6" s="545">
        <v>44063.681597222225</v>
      </c>
    </row>
    <row r="7" spans="1:11" hidden="1">
      <c r="A7" s="365">
        <v>5</v>
      </c>
      <c r="B7" s="365" t="str">
        <f>Allg.!C7</f>
        <v>Ma Chengyun</v>
      </c>
      <c r="C7" s="427" t="str">
        <f>Allg.!B7</f>
        <v>马成云</v>
      </c>
      <c r="D7" s="365" t="str">
        <f>Allg.!D7</f>
        <v>429004198801191336</v>
      </c>
      <c r="E7" s="365" t="str">
        <f>Allg.!G7</f>
        <v>InPro (Shanghai) Automation Technology Co.,Ltd</v>
      </c>
      <c r="F7" s="365" t="str">
        <f>Allg.!F7</f>
        <v>茵铺锣（上海）自动化科技有限公司</v>
      </c>
      <c r="G7" s="365" t="str">
        <f>Allg.!H7</f>
        <v>VASS V05 Siemens</v>
      </c>
      <c r="H7" s="544">
        <f>Allg.!I7</f>
        <v>43958</v>
      </c>
      <c r="I7" s="544">
        <f t="shared" si="0"/>
        <v>45053</v>
      </c>
      <c r="J7" s="365" t="str">
        <f>Allg.!J7</f>
        <v>Pass</v>
      </c>
      <c r="K7" s="545">
        <v>44124.595196759263</v>
      </c>
    </row>
    <row r="8" spans="1:11" hidden="1">
      <c r="A8" s="365">
        <v>6</v>
      </c>
      <c r="B8" s="365" t="str">
        <f>Allg.!C8</f>
        <v>Yao Binbin</v>
      </c>
      <c r="C8" s="427" t="str">
        <f>Allg.!B8</f>
        <v>姚彬彬</v>
      </c>
      <c r="D8" s="365" t="str">
        <f>Allg.!D8</f>
        <v>341227199001077079</v>
      </c>
      <c r="E8" s="365" t="str">
        <f>Allg.!G8</f>
        <v>InPro (Shanghai) Automation Technology Co.,Ltd</v>
      </c>
      <c r="F8" s="365" t="str">
        <f>Allg.!F8</f>
        <v>茵铺锣（上海）自动化科技有限公司</v>
      </c>
      <c r="G8" s="365" t="str">
        <f>Allg.!H8</f>
        <v>VASS V05 Siemens</v>
      </c>
      <c r="H8" s="544">
        <f>Allg.!I8</f>
        <v>43958</v>
      </c>
      <c r="I8" s="544">
        <f t="shared" si="0"/>
        <v>45053</v>
      </c>
      <c r="J8" s="365" t="str">
        <f>Allg.!J8</f>
        <v>Pass</v>
      </c>
      <c r="K8" s="545">
        <v>44124.595300925925</v>
      </c>
    </row>
    <row r="9" spans="1:11" hidden="1">
      <c r="A9" s="365">
        <v>7</v>
      </c>
      <c r="B9" s="365" t="str">
        <f>Allg.!C9</f>
        <v>Sarmiento, Juan</v>
      </c>
      <c r="C9" s="427">
        <f>Allg.!B9</f>
        <v>0</v>
      </c>
      <c r="D9" s="365" t="str">
        <f>Allg.!D9</f>
        <v>G34422029</v>
      </c>
      <c r="E9" s="365" t="str">
        <f>Allg.!G9</f>
        <v>InPro (Shanghai) Automation Technology Co.,Ltd</v>
      </c>
      <c r="F9" s="365" t="str">
        <f>Allg.!F9</f>
        <v>茵铺锣（上海）自动化科技有限公司</v>
      </c>
      <c r="G9" s="365" t="str">
        <f>Allg.!H9</f>
        <v>VASS V05 Siemens</v>
      </c>
      <c r="H9" s="544">
        <f>Allg.!I9</f>
        <v>43958</v>
      </c>
      <c r="I9" s="544">
        <f t="shared" si="0"/>
        <v>45053</v>
      </c>
      <c r="J9" s="365" t="str">
        <f>Allg.!J9</f>
        <v>Pass</v>
      </c>
      <c r="K9" s="545">
        <v>44124.595416666663</v>
      </c>
    </row>
    <row r="10" spans="1:11" hidden="1">
      <c r="A10" s="365">
        <v>8</v>
      </c>
      <c r="B10" s="365" t="str">
        <f>Allg.!C10</f>
        <v>Zheng Yin</v>
      </c>
      <c r="C10" s="427" t="str">
        <f>Allg.!B10</f>
        <v>郑印</v>
      </c>
      <c r="D10" s="365" t="str">
        <f>Allg.!D10</f>
        <v>220381198809281110</v>
      </c>
      <c r="E10" s="365" t="str">
        <f>Allg.!G10</f>
        <v>InPro (Shanghai) Automation Technology Co.,Ltd</v>
      </c>
      <c r="F10" s="365" t="str">
        <f>Allg.!F10</f>
        <v>茵铺锣（上海）自动化科技有限公司</v>
      </c>
      <c r="G10" s="365" t="str">
        <f>Allg.!H10</f>
        <v>VASS V05 Siemens</v>
      </c>
      <c r="H10" s="544">
        <f>Allg.!I10</f>
        <v>43958</v>
      </c>
      <c r="I10" s="544">
        <f t="shared" si="0"/>
        <v>45053</v>
      </c>
      <c r="J10" s="365" t="str">
        <f>Allg.!J10</f>
        <v>Pass</v>
      </c>
      <c r="K10" s="545">
        <v>44124.595567129632</v>
      </c>
    </row>
    <row r="11" spans="1:11" hidden="1">
      <c r="A11" s="365">
        <v>9</v>
      </c>
      <c r="B11" s="365" t="str">
        <f>Allg.!C11</f>
        <v>Cai, Weili</v>
      </c>
      <c r="C11" s="427" t="str">
        <f>Allg.!B11</f>
        <v>蔡伟利</v>
      </c>
      <c r="D11" s="365" t="str">
        <f>Allg.!D11</f>
        <v>140222199608240039</v>
      </c>
      <c r="E11" s="365" t="str">
        <f>Allg.!G11</f>
        <v>Shanghai HANM Technology co., LTd</v>
      </c>
      <c r="F11" s="365" t="str">
        <f>Allg.!F11</f>
        <v>上海悍蒙机电科技有限公司</v>
      </c>
      <c r="G11" s="365" t="str">
        <f>Allg.!H11</f>
        <v>VKRC4 KUKA</v>
      </c>
      <c r="H11" s="544">
        <f>Allg.!I11</f>
        <v>44034</v>
      </c>
      <c r="I11" s="544">
        <f t="shared" si="0"/>
        <v>45129</v>
      </c>
      <c r="J11" s="365" t="str">
        <f>Allg.!J11</f>
        <v>Failed</v>
      </c>
      <c r="K11" s="365"/>
    </row>
    <row r="12" spans="1:11" hidden="1">
      <c r="A12" s="365">
        <v>10</v>
      </c>
      <c r="B12" s="365" t="str">
        <f>Allg.!C12</f>
        <v>Tao, Jingren</v>
      </c>
      <c r="C12" s="427" t="str">
        <f>Allg.!B12</f>
        <v>陶靖仁</v>
      </c>
      <c r="D12" s="365" t="str">
        <f>Allg.!D12</f>
        <v>130303199703072000</v>
      </c>
      <c r="E12" s="365" t="str">
        <f>Allg.!G12</f>
        <v>Shanghai HANM Technology co., LTd</v>
      </c>
      <c r="F12" s="365" t="str">
        <f>Allg.!F12</f>
        <v>上海悍蒙机电科技有限公司</v>
      </c>
      <c r="G12" s="365" t="str">
        <f>Allg.!H12</f>
        <v>VKRC4 KUKA</v>
      </c>
      <c r="H12" s="544">
        <f>Allg.!I12</f>
        <v>44034</v>
      </c>
      <c r="I12" s="544">
        <f t="shared" si="0"/>
        <v>45129</v>
      </c>
      <c r="J12" s="365" t="str">
        <f>Allg.!J12</f>
        <v>Failed</v>
      </c>
      <c r="K12" s="365"/>
    </row>
    <row r="13" spans="1:11" hidden="1">
      <c r="A13" s="365">
        <v>11</v>
      </c>
      <c r="B13" s="365" t="str">
        <f>Allg.!C13</f>
        <v>Zou, Luming</v>
      </c>
      <c r="C13" s="427" t="str">
        <f>Allg.!B13</f>
        <v>邹路明</v>
      </c>
      <c r="D13" s="365" t="str">
        <f>Allg.!D13</f>
        <v>130283199708034911</v>
      </c>
      <c r="E13" s="365" t="str">
        <f>Allg.!G13</f>
        <v>Shanghai HANM Technology co., LTd</v>
      </c>
      <c r="F13" s="365" t="str">
        <f>Allg.!F13</f>
        <v>上海悍蒙机电科技有限公司</v>
      </c>
      <c r="G13" s="365" t="str">
        <f>Allg.!H13</f>
        <v>VKRC4 KUKA</v>
      </c>
      <c r="H13" s="544">
        <f>Allg.!I13</f>
        <v>44034</v>
      </c>
      <c r="I13" s="544">
        <f t="shared" si="0"/>
        <v>45129</v>
      </c>
      <c r="J13" s="365" t="str">
        <f>Allg.!J13</f>
        <v>Pass</v>
      </c>
      <c r="K13" s="545">
        <v>44063.682476851849</v>
      </c>
    </row>
    <row r="14" spans="1:11" hidden="1">
      <c r="A14" s="365">
        <v>12</v>
      </c>
      <c r="B14" s="365" t="str">
        <f>Allg.!C14</f>
        <v>Guo, Defeng</v>
      </c>
      <c r="C14" s="427" t="str">
        <f>Allg.!B14</f>
        <v>郭德锋</v>
      </c>
      <c r="D14" s="365" t="str">
        <f>Allg.!D14</f>
        <v>220181199612104413</v>
      </c>
      <c r="E14" s="365" t="str">
        <f>Allg.!G14</f>
        <v>Shanghai HANM Technology co., LTd</v>
      </c>
      <c r="F14" s="365" t="str">
        <f>Allg.!F14</f>
        <v>上海悍蒙机电科技有限公司</v>
      </c>
      <c r="G14" s="365" t="str">
        <f>Allg.!H14</f>
        <v>VKRC4 KUKA</v>
      </c>
      <c r="H14" s="544">
        <f>Allg.!I14</f>
        <v>44034</v>
      </c>
      <c r="I14" s="544">
        <f t="shared" si="0"/>
        <v>45129</v>
      </c>
      <c r="J14" s="365" t="str">
        <f>Allg.!J14</f>
        <v>Pass</v>
      </c>
      <c r="K14" s="545">
        <v>44063.682673611111</v>
      </c>
    </row>
    <row r="15" spans="1:11" hidden="1">
      <c r="A15" s="365">
        <v>13</v>
      </c>
      <c r="B15" s="365" t="str">
        <f>Allg.!C15</f>
        <v>Du, Sitao</v>
      </c>
      <c r="C15" s="427" t="str">
        <f>Allg.!B15</f>
        <v>杜思涛</v>
      </c>
      <c r="D15" s="365" t="str">
        <f>Allg.!D15</f>
        <v>62242119940519001X</v>
      </c>
      <c r="E15" s="365" t="str">
        <f>Allg.!G15</f>
        <v>Shanghai HANM Technology co., LTd</v>
      </c>
      <c r="F15" s="365" t="str">
        <f>Allg.!F15</f>
        <v>上海悍蒙机电科技有限公司</v>
      </c>
      <c r="G15" s="365" t="str">
        <f>Allg.!H15</f>
        <v>VKRC4 KUKA</v>
      </c>
      <c r="H15" s="544">
        <f>Allg.!I15</f>
        <v>44034</v>
      </c>
      <c r="I15" s="544">
        <f t="shared" si="0"/>
        <v>45129</v>
      </c>
      <c r="J15" s="365" t="str">
        <f>Allg.!J15</f>
        <v>Pass</v>
      </c>
      <c r="K15" s="545">
        <v>44063.682905092595</v>
      </c>
    </row>
    <row r="16" spans="1:11" hidden="1">
      <c r="A16" s="365">
        <v>14</v>
      </c>
      <c r="B16" s="365" t="str">
        <f>Allg.!C16</f>
        <v>Estrada Zatarain, Luis Ignacio</v>
      </c>
      <c r="C16" s="427">
        <f>Allg.!B16</f>
        <v>0</v>
      </c>
      <c r="D16" s="365" t="str">
        <f>Allg.!D16</f>
        <v>G24648837</v>
      </c>
      <c r="E16" s="365" t="str">
        <f>Allg.!G16</f>
        <v>Chengdu Bond AAT Co.,ltd</v>
      </c>
      <c r="F16" s="365" t="str">
        <f>Allg.!F16</f>
        <v>成都邦德联合自动化科技有限公司</v>
      </c>
      <c r="G16" s="365" t="str">
        <f>Allg.!H16</f>
        <v>VKRC4 KUKA</v>
      </c>
      <c r="H16" s="544">
        <f>Allg.!I16</f>
        <v>44120</v>
      </c>
      <c r="I16" s="544">
        <f t="shared" si="0"/>
        <v>45215</v>
      </c>
      <c r="J16" s="365" t="str">
        <f>Allg.!J16</f>
        <v>Pass</v>
      </c>
      <c r="K16" s="545">
        <v>44217.656817129631</v>
      </c>
    </row>
    <row r="17" spans="1:11" hidden="1">
      <c r="A17" s="365">
        <v>15</v>
      </c>
      <c r="B17" s="365" t="str">
        <f>Allg.!C17</f>
        <v>Guske, Stephan Paul</v>
      </c>
      <c r="C17" s="427">
        <f>Allg.!B17</f>
        <v>0</v>
      </c>
      <c r="D17" s="365" t="str">
        <f>Allg.!D17</f>
        <v>C23WVCXNR</v>
      </c>
      <c r="E17" s="365" t="str">
        <f>Allg.!G17</f>
        <v>InPro (Shanghai) Automation Technology Co.,Ltd</v>
      </c>
      <c r="F17" s="365" t="str">
        <f>Allg.!F17</f>
        <v>茵铺锣（上海）自动化科技有限公司</v>
      </c>
      <c r="G17" s="365" t="str">
        <f>Allg.!H17</f>
        <v>VKRC4 KUKA</v>
      </c>
      <c r="H17" s="544">
        <f>Allg.!I17</f>
        <v>44120</v>
      </c>
      <c r="I17" s="544">
        <f t="shared" si="0"/>
        <v>45215</v>
      </c>
      <c r="J17" s="365" t="str">
        <f>Allg.!J17</f>
        <v>Pass</v>
      </c>
      <c r="K17" s="545">
        <v>44217.657129629632</v>
      </c>
    </row>
    <row r="18" spans="1:11" hidden="1">
      <c r="A18" s="365">
        <v>16</v>
      </c>
      <c r="B18" s="365" t="str">
        <f>Allg.!C18</f>
        <v>Lv, Zhimin</v>
      </c>
      <c r="C18" s="427" t="str">
        <f>Allg.!B18</f>
        <v>吕志民</v>
      </c>
      <c r="D18" s="365" t="str">
        <f>Allg.!D18</f>
        <v>420117198712187537</v>
      </c>
      <c r="E18" s="365" t="str">
        <f>Allg.!G18</f>
        <v>Leadec Industrial Services(Shanghai) Co.,Ltd</v>
      </c>
      <c r="F18" s="365" t="str">
        <f>Allg.!F18</f>
        <v>利戴工业技术服务（上海）有限公司</v>
      </c>
      <c r="G18" s="365" t="str">
        <f>Allg.!H18</f>
        <v>VASS V06 Siemens</v>
      </c>
      <c r="H18" s="544">
        <f>Allg.!I18</f>
        <v>44215</v>
      </c>
      <c r="I18" s="544">
        <f t="shared" si="0"/>
        <v>45310</v>
      </c>
      <c r="J18" s="365" t="str">
        <f>Allg.!J18</f>
        <v>Pass</v>
      </c>
      <c r="K18" s="545">
        <v>44217.657349537039</v>
      </c>
    </row>
    <row r="19" spans="1:11" hidden="1">
      <c r="A19" s="365">
        <v>17</v>
      </c>
      <c r="B19" s="365" t="str">
        <f>Allg.!C19</f>
        <v>Wu, Chunlai</v>
      </c>
      <c r="C19" s="427" t="str">
        <f>Allg.!B19</f>
        <v>吴春来</v>
      </c>
      <c r="D19" s="365" t="str">
        <f>Allg.!D19</f>
        <v>220381199010285430</v>
      </c>
      <c r="E19" s="365" t="str">
        <f>Allg.!G19</f>
        <v>Leadec Industrial Services(Shanghai) Co.,Ltd</v>
      </c>
      <c r="F19" s="365" t="str">
        <f>Allg.!F19</f>
        <v>利戴工业技术服务（上海）有限公司</v>
      </c>
      <c r="G19" s="365" t="str">
        <f>Allg.!H19</f>
        <v>VASS V05 Siemens</v>
      </c>
      <c r="H19" s="544">
        <f>Allg.!I19</f>
        <v>44215</v>
      </c>
      <c r="I19" s="544">
        <f t="shared" si="0"/>
        <v>45310</v>
      </c>
      <c r="J19" s="365" t="str">
        <f>Allg.!J19</f>
        <v>Pass</v>
      </c>
      <c r="K19" s="545">
        <v>44217.657581018517</v>
      </c>
    </row>
    <row r="20" spans="1:11" hidden="1">
      <c r="A20" s="365">
        <v>18</v>
      </c>
      <c r="B20" s="365" t="str">
        <f>Allg.!C20</f>
        <v>Wu, Yuliang</v>
      </c>
      <c r="C20" s="427" t="str">
        <f>Allg.!B20</f>
        <v>吴玉良</v>
      </c>
      <c r="D20" s="365" t="str">
        <f>Allg.!D20</f>
        <v>220323198807256313</v>
      </c>
      <c r="E20" s="365" t="str">
        <f>Allg.!G20</f>
        <v>Leadec Industrial Services(Shanghai) Co.,Ltd</v>
      </c>
      <c r="F20" s="365" t="str">
        <f>Allg.!F20</f>
        <v>利戴工业技术服务（上海）有限公司</v>
      </c>
      <c r="G20" s="365" t="str">
        <f>Allg.!H20</f>
        <v>VASS V06 Siemens</v>
      </c>
      <c r="H20" s="544">
        <f>Allg.!I20</f>
        <v>44215</v>
      </c>
      <c r="I20" s="544">
        <f t="shared" si="0"/>
        <v>45310</v>
      </c>
      <c r="J20" s="365" t="str">
        <f>Allg.!J20</f>
        <v>Pass</v>
      </c>
      <c r="K20" s="545">
        <v>44217.727395833332</v>
      </c>
    </row>
    <row r="21" spans="1:11" hidden="1">
      <c r="A21" s="365">
        <v>19</v>
      </c>
      <c r="B21" s="365" t="str">
        <f>Allg.!C21</f>
        <v>Zhou, Ganggang</v>
      </c>
      <c r="C21" s="427" t="str">
        <f>Allg.!B21</f>
        <v>周刚刚</v>
      </c>
      <c r="D21" s="365" t="str">
        <f>Allg.!D21</f>
        <v>362422198708213010</v>
      </c>
      <c r="E21" s="365" t="str">
        <f>Allg.!G21</f>
        <v>Leadec Industrial Services(Shanghai) Co.,Ltd</v>
      </c>
      <c r="F21" s="365" t="str">
        <f>Allg.!F21</f>
        <v>利戴工业技术服务（上海）有限公司</v>
      </c>
      <c r="G21" s="365" t="str">
        <f>Allg.!H21</f>
        <v>VASS V06 Siemens</v>
      </c>
      <c r="H21" s="544">
        <f>Allg.!I21</f>
        <v>44215</v>
      </c>
      <c r="I21" s="544">
        <f t="shared" si="0"/>
        <v>45310</v>
      </c>
      <c r="J21" s="365" t="str">
        <f>Allg.!J21</f>
        <v>Pass</v>
      </c>
      <c r="K21" s="545">
        <v>44217.727523148147</v>
      </c>
    </row>
    <row r="22" spans="1:11" hidden="1">
      <c r="A22" s="365">
        <v>20</v>
      </c>
      <c r="B22" s="365" t="str">
        <f>Allg.!C22</f>
        <v>Zhou, Haolin</v>
      </c>
      <c r="C22" s="427" t="str">
        <f>Allg.!B22</f>
        <v>周浩林</v>
      </c>
      <c r="D22" s="365" t="str">
        <f>Allg.!D22</f>
        <v>421281199303195730</v>
      </c>
      <c r="E22" s="365" t="str">
        <f>Allg.!G22</f>
        <v>Leadec Industrial Services(Shanghai) Co.,Ltd</v>
      </c>
      <c r="F22" s="365" t="str">
        <f>Allg.!F22</f>
        <v>利戴工业技术服务（上海）有限公司</v>
      </c>
      <c r="G22" s="365" t="str">
        <f>Allg.!H22</f>
        <v>VASS V05 Siemens</v>
      </c>
      <c r="H22" s="544">
        <f>Allg.!I22</f>
        <v>44215</v>
      </c>
      <c r="I22" s="544">
        <f t="shared" si="0"/>
        <v>45310</v>
      </c>
      <c r="J22" s="365" t="str">
        <f>Allg.!J22</f>
        <v>Failed</v>
      </c>
      <c r="K22" s="365"/>
    </row>
    <row r="23" spans="1:11" hidden="1">
      <c r="A23" s="365">
        <v>21</v>
      </c>
      <c r="B23" s="365" t="str">
        <f>Allg.!C23</f>
        <v>Diao, Xiaotong</v>
      </c>
      <c r="C23" s="427" t="str">
        <f>Allg.!B23</f>
        <v>刁晓通</v>
      </c>
      <c r="D23" s="365" t="str">
        <f>Allg.!D23</f>
        <v>412326199104252130</v>
      </c>
      <c r="E23" s="365" t="str">
        <f>Allg.!G23</f>
        <v>Leadec Industrial Services(Shanghai) Co.,Ltd</v>
      </c>
      <c r="F23" s="365" t="str">
        <f>Allg.!F23</f>
        <v>利戴工业技术服务（上海）有限公司</v>
      </c>
      <c r="G23" s="365" t="str">
        <f>Allg.!H23</f>
        <v>VKRC4 KUKA</v>
      </c>
      <c r="H23" s="544">
        <f>Allg.!I23</f>
        <v>44215</v>
      </c>
      <c r="I23" s="544">
        <f t="shared" si="0"/>
        <v>45310</v>
      </c>
      <c r="J23" s="365" t="str">
        <f>Allg.!J23</f>
        <v>Pass</v>
      </c>
      <c r="K23" s="545">
        <v>44217.657824074071</v>
      </c>
    </row>
    <row r="24" spans="1:11" hidden="1">
      <c r="A24" s="365">
        <v>22</v>
      </c>
      <c r="B24" s="365" t="str">
        <f>Allg.!C24</f>
        <v>Qiu,Libo</v>
      </c>
      <c r="C24" s="427" t="str">
        <f>Allg.!B24</f>
        <v>裘立博</v>
      </c>
      <c r="D24" s="365" t="str">
        <f>Allg.!D24</f>
        <v>220182198611211534</v>
      </c>
      <c r="E24" s="365" t="str">
        <f>Allg.!G24</f>
        <v>Leadec Industrial Services(Shanghai) Co.,Ltd</v>
      </c>
      <c r="F24" s="365" t="str">
        <f>Allg.!F24</f>
        <v>利戴工业技术服务（上海）有限公司</v>
      </c>
      <c r="G24" s="365" t="str">
        <f>Allg.!H24</f>
        <v>VKRC4 KUKA</v>
      </c>
      <c r="H24" s="544">
        <f>Allg.!I24</f>
        <v>44215</v>
      </c>
      <c r="I24" s="544">
        <f t="shared" si="0"/>
        <v>45310</v>
      </c>
      <c r="J24" s="365" t="str">
        <f>Allg.!J24</f>
        <v>Failed</v>
      </c>
      <c r="K24" s="365"/>
    </row>
    <row r="25" spans="1:11" hidden="1">
      <c r="A25" s="365">
        <v>23</v>
      </c>
      <c r="B25" s="365" t="str">
        <f>Allg.!C25</f>
        <v>Qu, Jingsen</v>
      </c>
      <c r="C25" s="427" t="str">
        <f>Allg.!B25</f>
        <v>渠敬森</v>
      </c>
      <c r="D25" s="365" t="str">
        <f>Allg.!D25</f>
        <v>320321198710274217</v>
      </c>
      <c r="E25" s="365" t="str">
        <f>Allg.!G25</f>
        <v>Leadec Industrial Services(Shanghai) Co.,Ltd</v>
      </c>
      <c r="F25" s="365" t="str">
        <f>Allg.!F25</f>
        <v>利戴工业技术服务（上海）有限公司</v>
      </c>
      <c r="G25" s="365" t="str">
        <f>Allg.!H25</f>
        <v>VKRC4 KUKA</v>
      </c>
      <c r="H25" s="544">
        <f>Allg.!I25</f>
        <v>44215</v>
      </c>
      <c r="I25" s="544">
        <f t="shared" si="0"/>
        <v>45310</v>
      </c>
      <c r="J25" s="365" t="str">
        <f>Allg.!J25</f>
        <v>Pass</v>
      </c>
      <c r="K25" s="545">
        <v>44217.658043981479</v>
      </c>
    </row>
    <row r="26" spans="1:11" hidden="1">
      <c r="A26" s="365">
        <v>24</v>
      </c>
      <c r="B26" s="365" t="str">
        <f>Allg.!C26</f>
        <v>Zhang,Tianji</v>
      </c>
      <c r="C26" s="427" t="str">
        <f>Allg.!B26</f>
        <v>张天骥</v>
      </c>
      <c r="D26" s="365" t="str">
        <f>Allg.!D26</f>
        <v>220103198902142713</v>
      </c>
      <c r="E26" s="365" t="str">
        <f>Allg.!G26</f>
        <v>Leadec Industrial Services(Shanghai) Co.,Ltd</v>
      </c>
      <c r="F26" s="365" t="str">
        <f>Allg.!F26</f>
        <v>利戴工业技术服务（上海）有限公司</v>
      </c>
      <c r="G26" s="365" t="str">
        <f>Allg.!H26</f>
        <v>VKRC4 KUKA</v>
      </c>
      <c r="H26" s="544">
        <f>Allg.!I26</f>
        <v>44215</v>
      </c>
      <c r="I26" s="544">
        <f t="shared" si="0"/>
        <v>45310</v>
      </c>
      <c r="J26" s="365" t="str">
        <f>Allg.!J26</f>
        <v>Pass</v>
      </c>
      <c r="K26" s="545">
        <v>44217.65829861111</v>
      </c>
    </row>
    <row r="27" spans="1:11" hidden="1">
      <c r="A27" s="365">
        <v>25</v>
      </c>
      <c r="B27" s="365" t="str">
        <f>Allg.!C27</f>
        <v>He, Zhenchun</v>
      </c>
      <c r="C27" s="427" t="str">
        <f>Allg.!B27</f>
        <v>何振淳</v>
      </c>
      <c r="D27" s="365" t="str">
        <f>Allg.!D27</f>
        <v>320821199505225119</v>
      </c>
      <c r="E27" s="365" t="str">
        <f>Allg.!G27</f>
        <v>Leadec Industrial Services(Shanghai) Co.,Ltd</v>
      </c>
      <c r="F27" s="365" t="str">
        <f>Allg.!F27</f>
        <v>利戴工业技术服务（上海）有限公司</v>
      </c>
      <c r="G27" s="365" t="str">
        <f>Allg.!H27</f>
        <v>VKRC4 KUKA</v>
      </c>
      <c r="H27" s="544">
        <f>Allg.!I27</f>
        <v>44215</v>
      </c>
      <c r="I27" s="544">
        <f t="shared" si="0"/>
        <v>45310</v>
      </c>
      <c r="J27" s="365" t="str">
        <f>Allg.!J27</f>
        <v>Pass</v>
      </c>
      <c r="K27" s="545">
        <v>44217.658587962964</v>
      </c>
    </row>
    <row r="28" spans="1:11" hidden="1">
      <c r="A28" s="365">
        <v>26</v>
      </c>
      <c r="B28" s="365" t="str">
        <f>Allg.!C28</f>
        <v>Kong, Lingquan</v>
      </c>
      <c r="C28" s="427" t="str">
        <f>Allg.!B28</f>
        <v>孔令全</v>
      </c>
      <c r="D28" s="365" t="str">
        <f>Allg.!D28</f>
        <v>220112198707153632</v>
      </c>
      <c r="E28" s="365" t="str">
        <f>Allg.!G28</f>
        <v>Leadec Industrial Services(Shanghai) Co.,Ltd</v>
      </c>
      <c r="F28" s="365" t="str">
        <f>Allg.!F28</f>
        <v>利戴工业技术服务（上海）有限公司</v>
      </c>
      <c r="G28" s="365" t="str">
        <f>Allg.!H28</f>
        <v>VKRC4 KUKA</v>
      </c>
      <c r="H28" s="544">
        <f>Allg.!I28</f>
        <v>44215</v>
      </c>
      <c r="I28" s="544">
        <f t="shared" si="0"/>
        <v>45310</v>
      </c>
      <c r="J28" s="365" t="str">
        <f>Allg.!J28</f>
        <v>Pass</v>
      </c>
      <c r="K28" s="545">
        <v>44217.658912037034</v>
      </c>
    </row>
    <row r="29" spans="1:11" hidden="1">
      <c r="A29" s="365">
        <v>27</v>
      </c>
      <c r="B29" s="365" t="str">
        <f>Allg.!C29</f>
        <v>Tan, Shizhou</v>
      </c>
      <c r="C29" s="427" t="str">
        <f>Allg.!B29</f>
        <v>谭仕洲</v>
      </c>
      <c r="D29" s="365" t="str">
        <f>Allg.!D29</f>
        <v>450721198709090999</v>
      </c>
      <c r="E29" s="365" t="str">
        <f>Allg.!G29</f>
        <v>Leadec Industrial Services(Shanghai) Co.,Ltd</v>
      </c>
      <c r="F29" s="365" t="str">
        <f>Allg.!F29</f>
        <v>利戴工业技术服务（上海）有限公司</v>
      </c>
      <c r="G29" s="365" t="str">
        <f>Allg.!H29</f>
        <v>VKRC4 KUKA</v>
      </c>
      <c r="H29" s="544">
        <f>Allg.!I29</f>
        <v>44215</v>
      </c>
      <c r="I29" s="544">
        <f t="shared" si="0"/>
        <v>45310</v>
      </c>
      <c r="J29" s="365" t="str">
        <f>Allg.!J29</f>
        <v>Failed</v>
      </c>
      <c r="K29" s="181"/>
    </row>
    <row r="30" spans="1:11" hidden="1">
      <c r="A30" s="365">
        <v>28</v>
      </c>
      <c r="B30" s="365" t="str">
        <f>Allg.!C30</f>
        <v>Li, Xin</v>
      </c>
      <c r="C30" s="427" t="str">
        <f>Allg.!B30</f>
        <v>李鑫</v>
      </c>
      <c r="D30" s="365" t="str">
        <f>Allg.!D30</f>
        <v>211224199603298612</v>
      </c>
      <c r="E30" s="365" t="str">
        <f>Allg.!G30</f>
        <v>Leadec Industrial Services(Shanghai) Co.,Ltd</v>
      </c>
      <c r="F30" s="365" t="str">
        <f>Allg.!F30</f>
        <v>利戴工业技术服务（上海）有限公司</v>
      </c>
      <c r="G30" s="365" t="str">
        <f>Allg.!H30</f>
        <v>VKRC4 KUKA</v>
      </c>
      <c r="H30" s="544">
        <f>Allg.!I30</f>
        <v>44215</v>
      </c>
      <c r="I30" s="544">
        <f t="shared" si="0"/>
        <v>45310</v>
      </c>
      <c r="J30" s="365" t="str">
        <f>Allg.!J30</f>
        <v>Failed</v>
      </c>
      <c r="K30" s="181"/>
    </row>
    <row r="31" spans="1:11" hidden="1">
      <c r="A31" s="365">
        <v>29</v>
      </c>
      <c r="B31" s="365" t="str">
        <f>Allg.!C31</f>
        <v>Tang, Qi</v>
      </c>
      <c r="C31" s="427" t="str">
        <f>Allg.!B31</f>
        <v>唐琪</v>
      </c>
      <c r="D31" s="365" t="str">
        <f>Allg.!D31</f>
        <v>320821199702045117</v>
      </c>
      <c r="E31" s="365" t="str">
        <f>Allg.!G31</f>
        <v>Leadec Industrial Services(Shanghai) Co.,Ltd</v>
      </c>
      <c r="F31" s="365" t="str">
        <f>Allg.!F31</f>
        <v>利戴工业技术服务（上海）有限公司</v>
      </c>
      <c r="G31" s="365" t="str">
        <f>Allg.!H31</f>
        <v>VKRC4 KUKA</v>
      </c>
      <c r="H31" s="544">
        <f>Allg.!I31</f>
        <v>44215</v>
      </c>
      <c r="I31" s="544">
        <f t="shared" si="0"/>
        <v>45310</v>
      </c>
      <c r="J31" s="365" t="str">
        <f>Allg.!J31</f>
        <v>Failed</v>
      </c>
      <c r="K31" s="181"/>
    </row>
    <row r="32" spans="1:11" hidden="1">
      <c r="A32" s="365">
        <v>30</v>
      </c>
      <c r="B32" s="365" t="str">
        <f>Allg.!C32</f>
        <v>Yin, Xiankang</v>
      </c>
      <c r="C32" s="427" t="str">
        <f>Allg.!B32</f>
        <v>尹显康</v>
      </c>
      <c r="D32" s="365" t="str">
        <f>Allg.!D32</f>
        <v>220183199404155614</v>
      </c>
      <c r="E32" s="365" t="str">
        <f>Allg.!G32</f>
        <v>Leadec Industrial Services(Shanghai) Co.,Ltd</v>
      </c>
      <c r="F32" s="365" t="str">
        <f>Allg.!F32</f>
        <v>利戴工业技术服务（上海）有限公司</v>
      </c>
      <c r="G32" s="365" t="str">
        <f>Allg.!H32</f>
        <v>VKRC4 KUKA</v>
      </c>
      <c r="H32" s="544">
        <f>Allg.!I32</f>
        <v>44215</v>
      </c>
      <c r="I32" s="544">
        <f t="shared" si="0"/>
        <v>45310</v>
      </c>
      <c r="J32" s="365" t="str">
        <f>Allg.!J32</f>
        <v>Pass</v>
      </c>
      <c r="K32" s="25">
        <v>44217.659270833334</v>
      </c>
    </row>
    <row r="33" spans="1:11" hidden="1">
      <c r="A33" s="365">
        <v>31</v>
      </c>
      <c r="B33" s="365" t="str">
        <f>Allg.!C33</f>
        <v>Cao, Changjiu</v>
      </c>
      <c r="C33" s="427" t="str">
        <f>Allg.!B33</f>
        <v>曹长久</v>
      </c>
      <c r="D33" s="365" t="str">
        <f>Allg.!D33</f>
        <v>220122199006013538</v>
      </c>
      <c r="E33" s="365" t="str">
        <f>Allg.!G33</f>
        <v>Leadec Industrial Services(Shanghai) Co.,Ltd</v>
      </c>
      <c r="F33" s="365" t="str">
        <f>Allg.!F33</f>
        <v>利戴工业技术服务（上海）有限公司</v>
      </c>
      <c r="G33" s="365" t="str">
        <f>Allg.!H33</f>
        <v>VKRC4 KUKA</v>
      </c>
      <c r="H33" s="544">
        <f>Allg.!I33</f>
        <v>44215</v>
      </c>
      <c r="I33" s="544">
        <f t="shared" si="0"/>
        <v>45310</v>
      </c>
      <c r="J33" s="365" t="str">
        <f>Allg.!J33</f>
        <v>Pass</v>
      </c>
      <c r="K33" s="25">
        <v>44217.65966435185</v>
      </c>
    </row>
    <row r="34" spans="1:11" hidden="1">
      <c r="A34" s="365">
        <v>32</v>
      </c>
      <c r="B34" s="365" t="str">
        <f>Allg.!C34</f>
        <v>Li, Tengda</v>
      </c>
      <c r="C34" s="427" t="str">
        <f>Allg.!B34</f>
        <v>李腾达</v>
      </c>
      <c r="D34" s="365" t="str">
        <f>Allg.!D34</f>
        <v>22072219940205203X</v>
      </c>
      <c r="E34" s="365" t="str">
        <f>Allg.!G34</f>
        <v>Leadec Industrial Services(Shanghai) Co.,Ltd</v>
      </c>
      <c r="F34" s="365" t="str">
        <f>Allg.!F34</f>
        <v>利戴工业技术服务（上海）有限公司</v>
      </c>
      <c r="G34" s="365" t="str">
        <f>Allg.!H34</f>
        <v>VKRC4 KUKA</v>
      </c>
      <c r="H34" s="544">
        <f>Allg.!I34</f>
        <v>44215</v>
      </c>
      <c r="I34" s="544">
        <f t="shared" si="0"/>
        <v>45310</v>
      </c>
      <c r="J34" s="365" t="str">
        <f>Allg.!J34</f>
        <v>Pass</v>
      </c>
      <c r="K34" s="25">
        <v>44217.660081018519</v>
      </c>
    </row>
    <row r="35" spans="1:11" hidden="1">
      <c r="A35" s="365">
        <v>33</v>
      </c>
      <c r="B35" s="365" t="str">
        <f>Allg.!C35</f>
        <v>Sheng, Fujian</v>
      </c>
      <c r="C35" s="427" t="str">
        <f>Allg.!B35</f>
        <v>生福健</v>
      </c>
      <c r="D35" s="365" t="str">
        <f>Allg.!D35</f>
        <v>210282199712185919</v>
      </c>
      <c r="E35" s="365" t="str">
        <f>Allg.!G35</f>
        <v>Leadec Industrial Services(Shanghai) Co.,Ltd</v>
      </c>
      <c r="F35" s="365" t="str">
        <f>Allg.!F35</f>
        <v>利戴工业技术服务（上海）有限公司</v>
      </c>
      <c r="G35" s="365" t="str">
        <f>Allg.!H35</f>
        <v>VKRC4 KUKA</v>
      </c>
      <c r="H35" s="544">
        <f>Allg.!I35</f>
        <v>44215</v>
      </c>
      <c r="I35" s="544">
        <f t="shared" si="0"/>
        <v>45310</v>
      </c>
      <c r="J35" s="365" t="str">
        <f>Allg.!J35</f>
        <v>Failed</v>
      </c>
      <c r="K35" s="181"/>
    </row>
    <row r="36" spans="1:11" hidden="1">
      <c r="A36" s="365">
        <v>34</v>
      </c>
      <c r="B36" s="365" t="str">
        <f>Allg.!C36</f>
        <v>Song, Honghui</v>
      </c>
      <c r="C36" s="427" t="str">
        <f>Allg.!B36</f>
        <v>宋鸿辉</v>
      </c>
      <c r="D36" s="365" t="str">
        <f>Allg.!D36</f>
        <v>220204199507045434</v>
      </c>
      <c r="E36" s="365" t="str">
        <f>Allg.!G36</f>
        <v>Leadec Industrial Services(Shanghai) Co.,Ltd</v>
      </c>
      <c r="F36" s="365" t="str">
        <f>Allg.!F36</f>
        <v>利戴工业技术服务（上海）有限公司</v>
      </c>
      <c r="G36" s="365" t="str">
        <f>Allg.!H36</f>
        <v>VKRC4 KUKA</v>
      </c>
      <c r="H36" s="544">
        <f>Allg.!I36</f>
        <v>44215</v>
      </c>
      <c r="I36" s="544">
        <f t="shared" si="0"/>
        <v>45310</v>
      </c>
      <c r="J36" s="365" t="str">
        <f>Allg.!J36</f>
        <v>Failed</v>
      </c>
      <c r="K36" s="181"/>
    </row>
    <row r="37" spans="1:11" hidden="1">
      <c r="A37" s="365">
        <v>35</v>
      </c>
      <c r="B37" s="365" t="str">
        <f>Allg.!C37</f>
        <v>Wang, Fujian</v>
      </c>
      <c r="C37" s="427" t="str">
        <f>Allg.!B37</f>
        <v>王福健</v>
      </c>
      <c r="D37" s="365" t="str">
        <f>Allg.!D37</f>
        <v>22028119890106341X</v>
      </c>
      <c r="E37" s="365" t="str">
        <f>Allg.!G37</f>
        <v>Leadec Industrial Services(Shanghai) Co.,Ltd</v>
      </c>
      <c r="F37" s="365" t="str">
        <f>Allg.!F37</f>
        <v>利戴工业技术服务（上海）有限公司</v>
      </c>
      <c r="G37" s="365" t="str">
        <f>Allg.!H37</f>
        <v>VKRC4 KUKA</v>
      </c>
      <c r="H37" s="544">
        <f>Allg.!I37</f>
        <v>44215</v>
      </c>
      <c r="I37" s="544">
        <f t="shared" si="0"/>
        <v>45310</v>
      </c>
      <c r="J37" s="365" t="str">
        <f>Allg.!J37</f>
        <v>Pass</v>
      </c>
      <c r="K37" s="25">
        <v>44217.660532407404</v>
      </c>
    </row>
    <row r="38" spans="1:11" hidden="1">
      <c r="A38" s="365">
        <v>36</v>
      </c>
      <c r="B38" s="365" t="str">
        <f>Allg.!C38</f>
        <v>Li, Jingeng</v>
      </c>
      <c r="C38" s="427" t="str">
        <f>Allg.!B38</f>
        <v>李劲赓</v>
      </c>
      <c r="D38" s="365" t="str">
        <f>Allg.!D38</f>
        <v>220181199710161235</v>
      </c>
      <c r="E38" s="365" t="str">
        <f>Allg.!G38</f>
        <v>Leadec Industrial Services(Shanghai) Co.,Ltd</v>
      </c>
      <c r="F38" s="365" t="str">
        <f>Allg.!F38</f>
        <v>利戴工业技术服务（上海）有限公司</v>
      </c>
      <c r="G38" s="365" t="str">
        <f>Allg.!H38</f>
        <v>VKRC4 KUKA</v>
      </c>
      <c r="H38" s="544">
        <f>Allg.!I38</f>
        <v>44215</v>
      </c>
      <c r="I38" s="544">
        <f t="shared" si="0"/>
        <v>45310</v>
      </c>
      <c r="J38" s="365" t="str">
        <f>Allg.!J38</f>
        <v>Failed</v>
      </c>
      <c r="K38" s="181"/>
    </row>
    <row r="39" spans="1:11" hidden="1">
      <c r="A39" s="365">
        <v>37</v>
      </c>
      <c r="B39" s="365" t="str">
        <f>Allg.!C39</f>
        <v>Yu, Peng</v>
      </c>
      <c r="C39" s="427" t="str">
        <f>Allg.!B39</f>
        <v>余鹏</v>
      </c>
      <c r="D39" s="365" t="str">
        <f>Allg.!D39</f>
        <v>411521199110063932</v>
      </c>
      <c r="E39" s="365" t="str">
        <f>Allg.!G39</f>
        <v>Shanghai HANM Technology co., LTd</v>
      </c>
      <c r="F39" s="365" t="str">
        <f>Allg.!F39</f>
        <v>上海悍蒙机电科技有限公司</v>
      </c>
      <c r="G39" s="365" t="str">
        <f>Allg.!H39</f>
        <v>VKRC4 KUKA</v>
      </c>
      <c r="H39" s="544">
        <f>Allg.!I39</f>
        <v>44215</v>
      </c>
      <c r="I39" s="544">
        <f t="shared" si="0"/>
        <v>45310</v>
      </c>
      <c r="J39" s="365" t="str">
        <f>Allg.!J39</f>
        <v>Pass</v>
      </c>
      <c r="K39" s="25">
        <v>44217.715115740742</v>
      </c>
    </row>
    <row r="40" spans="1:11" hidden="1">
      <c r="A40" s="365">
        <v>38</v>
      </c>
      <c r="B40" s="365" t="str">
        <f>Allg.!C40</f>
        <v>Jin, Chen</v>
      </c>
      <c r="C40" s="427" t="str">
        <f>Allg.!B40</f>
        <v>金陈</v>
      </c>
      <c r="D40" s="365" t="str">
        <f>Allg.!D40</f>
        <v>130923199808294333</v>
      </c>
      <c r="E40" s="365" t="str">
        <f>Allg.!G40</f>
        <v>Shanghai HANM Technology co., LTd</v>
      </c>
      <c r="F40" s="365" t="str">
        <f>Allg.!F40</f>
        <v>上海悍蒙机电科技有限公司</v>
      </c>
      <c r="G40" s="365" t="str">
        <f>Allg.!H40</f>
        <v>VKRC4 KUKA</v>
      </c>
      <c r="H40" s="544">
        <f>Allg.!I40</f>
        <v>44215</v>
      </c>
      <c r="I40" s="544">
        <f t="shared" si="0"/>
        <v>45310</v>
      </c>
      <c r="J40" s="365" t="str">
        <f>Allg.!J40</f>
        <v>Failed</v>
      </c>
      <c r="K40" s="25">
        <v>44217.661030092589</v>
      </c>
    </row>
    <row r="41" spans="1:11" hidden="1">
      <c r="A41" s="365">
        <v>39</v>
      </c>
      <c r="B41" s="365" t="str">
        <f>Allg.!C41</f>
        <v>Zhang, Qijia</v>
      </c>
      <c r="C41" s="427" t="str">
        <f>Allg.!B41</f>
        <v>张起嘉</v>
      </c>
      <c r="D41" s="365" t="str">
        <f>Allg.!D41</f>
        <v>220403199302153911</v>
      </c>
      <c r="E41" s="365" t="str">
        <f>Allg.!G41</f>
        <v>Shanghai HANM Technology co., LTd</v>
      </c>
      <c r="F41" s="365" t="str">
        <f>Allg.!F41</f>
        <v>上海悍蒙机电科技有限公司</v>
      </c>
      <c r="G41" s="365" t="str">
        <f>Allg.!H41</f>
        <v>VKRC4 KUKA</v>
      </c>
      <c r="H41" s="544">
        <f>Allg.!I41</f>
        <v>44215</v>
      </c>
      <c r="I41" s="544">
        <f t="shared" si="0"/>
        <v>45310</v>
      </c>
      <c r="J41" s="365" t="str">
        <f>Allg.!J41</f>
        <v>Pass</v>
      </c>
      <c r="K41" s="25">
        <v>44217.715243055558</v>
      </c>
    </row>
    <row r="42" spans="1:11" hidden="1">
      <c r="A42" s="365">
        <v>40</v>
      </c>
      <c r="B42" s="365" t="str">
        <f>Allg.!C42</f>
        <v>You, Min</v>
      </c>
      <c r="C42" s="427" t="str">
        <f>Allg.!B42</f>
        <v>尤敏</v>
      </c>
      <c r="D42" s="365" t="str">
        <f>Allg.!D42</f>
        <v>34082619940712001X</v>
      </c>
      <c r="E42" s="365" t="str">
        <f>Allg.!G42</f>
        <v>Shanghai HANM Technology co., LTd</v>
      </c>
      <c r="F42" s="365" t="str">
        <f>Allg.!F42</f>
        <v>上海悍蒙机电科技有限公司</v>
      </c>
      <c r="G42" s="365" t="str">
        <f>Allg.!H42</f>
        <v>VASS V06 Siemens</v>
      </c>
      <c r="H42" s="544">
        <f>Allg.!I42</f>
        <v>44215</v>
      </c>
      <c r="I42" s="544">
        <f t="shared" si="0"/>
        <v>45310</v>
      </c>
      <c r="J42" s="365">
        <f>Allg.!J42</f>
        <v>0</v>
      </c>
      <c r="K42" s="181"/>
    </row>
    <row r="43" spans="1:11" hidden="1">
      <c r="A43" s="365">
        <v>41</v>
      </c>
      <c r="B43" s="365" t="str">
        <f>Allg.!C43</f>
        <v>Xu, Zhou</v>
      </c>
      <c r="C43" s="427" t="str">
        <f>Allg.!B43</f>
        <v>徐洲</v>
      </c>
      <c r="D43" s="365" t="str">
        <f>Allg.!D43</f>
        <v>220802199611293817</v>
      </c>
      <c r="E43" s="365" t="str">
        <f>Allg.!G43</f>
        <v>Shanghai HANM Technology co., LTd</v>
      </c>
      <c r="F43" s="365" t="str">
        <f>Allg.!F43</f>
        <v>上海悍蒙机电科技有限公司</v>
      </c>
      <c r="G43" s="365" t="str">
        <f>Allg.!H43</f>
        <v>VASS V06 Siemens</v>
      </c>
      <c r="H43" s="544">
        <f>Allg.!I43</f>
        <v>44215</v>
      </c>
      <c r="I43" s="544">
        <f t="shared" si="0"/>
        <v>45310</v>
      </c>
      <c r="J43" s="365" t="str">
        <f>Allg.!J43</f>
        <v>Pass</v>
      </c>
      <c r="K43" s="25">
        <v>44217.661574074074</v>
      </c>
    </row>
    <row r="44" spans="1:11" hidden="1">
      <c r="A44" s="365">
        <v>42</v>
      </c>
      <c r="B44" s="365" t="str">
        <f>Allg.!C44</f>
        <v>Xing, Xin</v>
      </c>
      <c r="C44" s="427" t="str">
        <f>Allg.!B44</f>
        <v>邢鑫</v>
      </c>
      <c r="D44" s="365" t="str">
        <f>Allg.!D44</f>
        <v>412822199703306593</v>
      </c>
      <c r="E44" s="365" t="str">
        <f>Allg.!G44</f>
        <v>Shanghai HANM Technology co., LTd</v>
      </c>
      <c r="F44" s="365" t="str">
        <f>Allg.!F44</f>
        <v>上海悍蒙机电科技有限公司</v>
      </c>
      <c r="G44" s="365" t="str">
        <f>Allg.!H44</f>
        <v>VASS V06 Siemens</v>
      </c>
      <c r="H44" s="544">
        <f>Allg.!I44</f>
        <v>44215</v>
      </c>
      <c r="I44" s="544">
        <f t="shared" si="0"/>
        <v>45310</v>
      </c>
      <c r="J44" s="365" t="str">
        <f>Allg.!J44</f>
        <v>Pass</v>
      </c>
      <c r="K44" s="25">
        <v>44217.662129629629</v>
      </c>
    </row>
    <row r="45" spans="1:11" hidden="1">
      <c r="A45" s="365">
        <v>43</v>
      </c>
      <c r="B45" s="365" t="str">
        <f>Allg.!C45</f>
        <v>Wang, Haiyang</v>
      </c>
      <c r="C45" s="427" t="str">
        <f>Allg.!B45</f>
        <v>王海洋</v>
      </c>
      <c r="D45" s="365" t="str">
        <f>Allg.!D45</f>
        <v>230802199511051310</v>
      </c>
      <c r="E45" s="365" t="str">
        <f>Allg.!G45</f>
        <v>Shanghai HANM Technology co., LTd</v>
      </c>
      <c r="F45" s="365" t="str">
        <f>Allg.!F45</f>
        <v>上海悍蒙机电科技有限公司</v>
      </c>
      <c r="G45" s="365" t="str">
        <f>Allg.!H45</f>
        <v>VASS V06 Siemens</v>
      </c>
      <c r="H45" s="544">
        <f>Allg.!I45</f>
        <v>44215</v>
      </c>
      <c r="I45" s="544">
        <f t="shared" si="0"/>
        <v>45310</v>
      </c>
      <c r="J45" s="365" t="str">
        <f>Allg.!J45</f>
        <v>Pass</v>
      </c>
      <c r="K45" s="25">
        <v>44217.662731481483</v>
      </c>
    </row>
    <row r="46" spans="1:11" hidden="1">
      <c r="A46" s="365">
        <v>44</v>
      </c>
      <c r="B46" s="365" t="str">
        <f>Allg.!C46</f>
        <v>Chen, Jiabing</v>
      </c>
      <c r="C46" s="427" t="str">
        <f>Allg.!B46</f>
        <v>陈佳兵</v>
      </c>
      <c r="D46" s="365" t="str">
        <f>Allg.!D46</f>
        <v>230281199610192314</v>
      </c>
      <c r="E46" s="365" t="str">
        <f>Allg.!G46</f>
        <v>Shanghai HANM Technology co., LTd</v>
      </c>
      <c r="F46" s="365" t="str">
        <f>Allg.!F46</f>
        <v>上海悍蒙机电科技有限公司</v>
      </c>
      <c r="G46" s="365" t="str">
        <f>Allg.!H46</f>
        <v>VASS V06 Siemens</v>
      </c>
      <c r="H46" s="544">
        <f>Allg.!I46</f>
        <v>44215</v>
      </c>
      <c r="I46" s="544">
        <f t="shared" si="0"/>
        <v>45310</v>
      </c>
      <c r="J46" s="365" t="str">
        <f>Allg.!J46</f>
        <v>Pass</v>
      </c>
      <c r="K46" s="25">
        <v>44217.663368055553</v>
      </c>
    </row>
    <row r="47" spans="1:11" hidden="1">
      <c r="A47" s="365">
        <v>45</v>
      </c>
      <c r="B47" s="365" t="str">
        <f>Allg.!C47</f>
        <v>Li, Yi</v>
      </c>
      <c r="C47" s="427" t="str">
        <f>Allg.!B47</f>
        <v>李逸</v>
      </c>
      <c r="D47" s="365" t="str">
        <f>Allg.!D47</f>
        <v>420303199711122034</v>
      </c>
      <c r="E47" s="365" t="str">
        <f>Allg.!G47</f>
        <v>Shanghai HANM Technology co., LTd</v>
      </c>
      <c r="F47" s="365" t="str">
        <f>Allg.!F47</f>
        <v>上海悍蒙机电科技有限公司</v>
      </c>
      <c r="G47" s="365" t="str">
        <f>Allg.!H47</f>
        <v>VKRC4 KUKA</v>
      </c>
      <c r="H47" s="544">
        <f>Allg.!I47</f>
        <v>44215</v>
      </c>
      <c r="I47" s="544">
        <f t="shared" si="0"/>
        <v>45310</v>
      </c>
      <c r="J47" s="365" t="str">
        <f>Allg.!J47</f>
        <v>Failed</v>
      </c>
      <c r="K47" s="25">
        <v>44217.664050925923</v>
      </c>
    </row>
    <row r="48" spans="1:11" hidden="1">
      <c r="A48" s="365">
        <v>46</v>
      </c>
      <c r="B48" s="365" t="str">
        <f>Allg.!C48</f>
        <v>Li, Wenqiang</v>
      </c>
      <c r="C48" s="427" t="str">
        <f>Allg.!B48</f>
        <v>李文强</v>
      </c>
      <c r="D48" s="365" t="str">
        <f>Allg.!D48</f>
        <v>220422199103155032</v>
      </c>
      <c r="E48" s="365" t="str">
        <f>Allg.!G48</f>
        <v>Changchun HeQi automation technology Co.,Ltd</v>
      </c>
      <c r="F48" s="365" t="str">
        <f>Allg.!F48</f>
        <v>长春市和企自动化科技有限公司</v>
      </c>
      <c r="G48" s="365" t="str">
        <f>Allg.!H48</f>
        <v>VKRC4 KUKA</v>
      </c>
      <c r="H48" s="544">
        <f>Allg.!I48</f>
        <v>44215</v>
      </c>
      <c r="I48" s="544">
        <f t="shared" si="0"/>
        <v>45310</v>
      </c>
      <c r="J48" s="365" t="str">
        <f>Allg.!J48</f>
        <v>Pass</v>
      </c>
      <c r="K48" s="25">
        <v>44217.664768518516</v>
      </c>
    </row>
    <row r="49" spans="1:11" hidden="1">
      <c r="A49" s="365">
        <v>47</v>
      </c>
      <c r="B49" s="365" t="str">
        <f>Allg.!C49</f>
        <v>Zhong, Hao</v>
      </c>
      <c r="C49" s="427" t="str">
        <f>Allg.!B49</f>
        <v>钟浩</v>
      </c>
      <c r="D49" s="365" t="str">
        <f>Allg.!D49</f>
        <v>22038119920116165X</v>
      </c>
      <c r="E49" s="365" t="str">
        <f>Allg.!G49</f>
        <v>Changchun HeQi automation technology Co.,Ltd</v>
      </c>
      <c r="F49" s="365" t="str">
        <f>Allg.!F49</f>
        <v>长春市和企自动化科技有限公司</v>
      </c>
      <c r="G49" s="365" t="str">
        <f>Allg.!H49</f>
        <v>VKRC4 KUKA</v>
      </c>
      <c r="H49" s="544">
        <f>Allg.!I49</f>
        <v>44215</v>
      </c>
      <c r="I49" s="544">
        <f t="shared" si="0"/>
        <v>45310</v>
      </c>
      <c r="J49" s="365" t="str">
        <f>Allg.!J49</f>
        <v>Pass</v>
      </c>
      <c r="K49" s="25">
        <v>44217.665509259263</v>
      </c>
    </row>
    <row r="50" spans="1:11" hidden="1">
      <c r="A50" s="365">
        <v>48</v>
      </c>
      <c r="B50" s="365" t="str">
        <f>Allg.!C50</f>
        <v>Lv, Qingyang</v>
      </c>
      <c r="C50" s="427" t="str">
        <f>Allg.!B50</f>
        <v>吕庆阳</v>
      </c>
      <c r="D50" s="365" t="str">
        <f>Allg.!D50</f>
        <v>220181198806205816</v>
      </c>
      <c r="E50" s="365" t="str">
        <f>Allg.!G50</f>
        <v>Leadec Industrial Services(Shanghai) Co.,Ltd</v>
      </c>
      <c r="F50" s="365" t="str">
        <f>Allg.!F50</f>
        <v>利戴工业技术服务（上海）有限公司</v>
      </c>
      <c r="G50" s="365" t="str">
        <f>Allg.!H50</f>
        <v>VASS V05 Siemens</v>
      </c>
      <c r="H50" s="544">
        <f>Allg.!I50</f>
        <v>44215</v>
      </c>
      <c r="I50" s="544">
        <f t="shared" si="0"/>
        <v>45310</v>
      </c>
      <c r="J50" s="365" t="str">
        <f>Allg.!J50</f>
        <v>Pass</v>
      </c>
      <c r="K50" s="25">
        <v>44217.666284722225</v>
      </c>
    </row>
    <row r="51" spans="1:11" hidden="1">
      <c r="A51" s="365">
        <v>49</v>
      </c>
      <c r="B51" s="365" t="str">
        <f>Allg.!C51</f>
        <v>Yu, Xiaochuan</v>
      </c>
      <c r="C51" s="427" t="str">
        <f>Allg.!B51</f>
        <v>于小川</v>
      </c>
      <c r="D51" s="365" t="str">
        <f>Allg.!D51</f>
        <v>341221198709110812</v>
      </c>
      <c r="E51" s="365" t="str">
        <f>Allg.!G51</f>
        <v>Shanghai Yi Xin Automation Co.,Ltd</v>
      </c>
      <c r="F51" s="365" t="str">
        <f>Allg.!F51</f>
        <v>上海逸欣自动化设备有限公司</v>
      </c>
      <c r="G51" s="365" t="str">
        <f>Allg.!H51</f>
        <v>VASS V05 Siemens</v>
      </c>
      <c r="H51" s="544">
        <f>Allg.!I51</f>
        <v>44215</v>
      </c>
      <c r="I51" s="544">
        <f t="shared" si="0"/>
        <v>45310</v>
      </c>
      <c r="J51" s="365" t="str">
        <f>Allg.!J51</f>
        <v>Pass</v>
      </c>
      <c r="K51" s="25">
        <v>44217.667118055557</v>
      </c>
    </row>
    <row r="52" spans="1:11" hidden="1">
      <c r="A52" s="365">
        <v>50</v>
      </c>
      <c r="B52" s="365" t="str">
        <f>Allg.!C52</f>
        <v>Ling, Yong</v>
      </c>
      <c r="C52" s="427" t="str">
        <f>Allg.!B52</f>
        <v>凌勇</v>
      </c>
      <c r="D52" s="365" t="str">
        <f>Allg.!D52</f>
        <v>331082199411064678</v>
      </c>
      <c r="E52" s="365" t="str">
        <f>Allg.!G52</f>
        <v>Shanghai Yi Xin Automation Co.,Ltd</v>
      </c>
      <c r="F52" s="365" t="str">
        <f>Allg.!F52</f>
        <v>上海逸欣自动化设备有限公司</v>
      </c>
      <c r="G52" s="365" t="str">
        <f>Allg.!H52</f>
        <v>VASS V05 Siemens</v>
      </c>
      <c r="H52" s="544">
        <f>Allg.!I52</f>
        <v>44215</v>
      </c>
      <c r="I52" s="544">
        <f t="shared" si="0"/>
        <v>45310</v>
      </c>
      <c r="J52" s="365" t="str">
        <f>Allg.!J52</f>
        <v>Pass</v>
      </c>
      <c r="K52" s="25">
        <v>44217.667986111112</v>
      </c>
    </row>
    <row r="53" spans="1:11" hidden="1">
      <c r="A53" s="365">
        <v>51</v>
      </c>
      <c r="B53" s="365" t="str">
        <f>Allg.!C53</f>
        <v>Han, Anle</v>
      </c>
      <c r="C53" s="427" t="str">
        <f>Allg.!B53</f>
        <v>韩安乐</v>
      </c>
      <c r="D53" s="365" t="str">
        <f>Allg.!D53</f>
        <v>411527199902103558</v>
      </c>
      <c r="E53" s="365" t="str">
        <f>Allg.!G53</f>
        <v>Shanghai Yi Xin Automation Co.,Ltd</v>
      </c>
      <c r="F53" s="365" t="str">
        <f>Allg.!F53</f>
        <v>上海逸欣自动化设备有限公司</v>
      </c>
      <c r="G53" s="365" t="str">
        <f>Allg.!H53</f>
        <v>VASS V05 Siemens</v>
      </c>
      <c r="H53" s="544">
        <f>Allg.!I53</f>
        <v>44215</v>
      </c>
      <c r="I53" s="544">
        <f t="shared" si="0"/>
        <v>45310</v>
      </c>
      <c r="J53" s="365" t="str">
        <f>Allg.!J53</f>
        <v>Pass</v>
      </c>
      <c r="K53" s="25">
        <v>44217.668877314813</v>
      </c>
    </row>
    <row r="54" spans="1:11" hidden="1">
      <c r="A54" s="365">
        <v>52</v>
      </c>
      <c r="B54" s="365" t="str">
        <f>Allg.!C54</f>
        <v>Gao, Lijie</v>
      </c>
      <c r="C54" s="427" t="str">
        <f>Allg.!B54</f>
        <v>高丽杰</v>
      </c>
      <c r="D54" s="365" t="str">
        <f>Allg.!D54</f>
        <v>410328198807175019</v>
      </c>
      <c r="E54" s="365" t="str">
        <f>Allg.!G54</f>
        <v>Shanghai Yi Xin Automation Co.,Ltd</v>
      </c>
      <c r="F54" s="365" t="str">
        <f>Allg.!F54</f>
        <v>上海逸欣自动化设备有限公司</v>
      </c>
      <c r="G54" s="365" t="str">
        <f>Allg.!H54</f>
        <v>VASS V05 Siemens</v>
      </c>
      <c r="H54" s="544">
        <f>Allg.!I54</f>
        <v>44215</v>
      </c>
      <c r="I54" s="544">
        <f t="shared" si="0"/>
        <v>45310</v>
      </c>
      <c r="J54" s="365" t="str">
        <f>Allg.!J54</f>
        <v>Pass</v>
      </c>
      <c r="K54" s="25">
        <v>44217.670081018521</v>
      </c>
    </row>
    <row r="55" spans="1:11" hidden="1">
      <c r="A55" s="365">
        <v>53</v>
      </c>
      <c r="B55" s="365" t="str">
        <f>Allg.!C55</f>
        <v>Tan, Tianyuan</v>
      </c>
      <c r="C55" s="427" t="str">
        <f>Allg.!B55</f>
        <v>谭天元</v>
      </c>
      <c r="D55" s="365" t="str">
        <f>Allg.!D55</f>
        <v>210603199503191016</v>
      </c>
      <c r="E55" s="365" t="str">
        <f>Allg.!G55</f>
        <v>Shanghai Yi Xin Automation Co.,Ltd</v>
      </c>
      <c r="F55" s="365" t="str">
        <f>Allg.!F55</f>
        <v>上海逸欣自动化设备有限公司</v>
      </c>
      <c r="G55" s="365" t="str">
        <f>Allg.!H55</f>
        <v>VASS V05 Siemens</v>
      </c>
      <c r="H55" s="544">
        <f>Allg.!I55</f>
        <v>44215</v>
      </c>
      <c r="I55" s="544">
        <f t="shared" si="0"/>
        <v>45310</v>
      </c>
      <c r="J55" s="365" t="str">
        <f>Allg.!J55</f>
        <v>Pass</v>
      </c>
      <c r="K55" s="25">
        <v>44217.671365740738</v>
      </c>
    </row>
    <row r="56" spans="1:11" hidden="1">
      <c r="A56" s="365">
        <v>54</v>
      </c>
      <c r="B56" s="365" t="str">
        <f>Allg.!C56</f>
        <v>Li, Wenbin</v>
      </c>
      <c r="C56" s="427" t="str">
        <f>Allg.!B56</f>
        <v>李文斌</v>
      </c>
      <c r="D56" s="365" t="str">
        <f>Allg.!D56</f>
        <v>220625199110200313</v>
      </c>
      <c r="E56" s="365" t="str">
        <f>Allg.!G56</f>
        <v>Shanghai QIDE Mechanical and Electrical Equipment Co.,Ltd</v>
      </c>
      <c r="F56" s="365" t="str">
        <f>Allg.!F56</f>
        <v>上海祈德机电设备有限公司</v>
      </c>
      <c r="G56" s="365" t="str">
        <f>Allg.!H56</f>
        <v>VKRC4 KUKA</v>
      </c>
      <c r="H56" s="544">
        <f>Allg.!I56</f>
        <v>44215</v>
      </c>
      <c r="I56" s="544">
        <f t="shared" si="0"/>
        <v>45310</v>
      </c>
      <c r="J56" s="365" t="str">
        <f>Allg.!J56</f>
        <v>Pass</v>
      </c>
      <c r="K56" s="25">
        <v>44217.672662037039</v>
      </c>
    </row>
    <row r="57" spans="1:11" hidden="1">
      <c r="A57" s="365">
        <v>55</v>
      </c>
      <c r="B57" s="365" t="str">
        <f>Allg.!C57</f>
        <v>Lin, Qi</v>
      </c>
      <c r="C57" s="427" t="str">
        <f>Allg.!B57</f>
        <v>林旗</v>
      </c>
      <c r="D57" s="365" t="str">
        <f>Allg.!D57</f>
        <v>360621197903105013</v>
      </c>
      <c r="E57" s="365" t="str">
        <f>Allg.!G57</f>
        <v>Shanghai QIDE Mechanical and Electrical Equipment Co.,Ltd</v>
      </c>
      <c r="F57" s="365" t="str">
        <f>Allg.!F57</f>
        <v>上海祈德机电设备有限公司</v>
      </c>
      <c r="G57" s="365" t="str">
        <f>Allg.!H57</f>
        <v>VASS V05 Siemens</v>
      </c>
      <c r="H57" s="544">
        <f>Allg.!I57</f>
        <v>44215</v>
      </c>
      <c r="I57" s="544">
        <f t="shared" si="0"/>
        <v>45310</v>
      </c>
      <c r="J57" s="365" t="str">
        <f>Allg.!J57</f>
        <v>Failed</v>
      </c>
      <c r="K57" s="181"/>
    </row>
    <row r="58" spans="1:11" hidden="1">
      <c r="A58" s="365">
        <v>56</v>
      </c>
      <c r="B58" s="365" t="str">
        <f>Allg.!C58</f>
        <v>Su, Xiangdong</v>
      </c>
      <c r="C58" s="427" t="str">
        <f>Allg.!B58</f>
        <v>苏向东</v>
      </c>
      <c r="D58" s="365" t="str">
        <f>Allg.!D58</f>
        <v>220381199301203650</v>
      </c>
      <c r="E58" s="365" t="str">
        <f>Allg.!G58</f>
        <v>Shanghai QIDE Mechanical and Electrical Equipment Co.,Ltd</v>
      </c>
      <c r="F58" s="365" t="str">
        <f>Allg.!F58</f>
        <v>上海祈德机电设备有限公司</v>
      </c>
      <c r="G58" s="365" t="str">
        <f>Allg.!H58</f>
        <v>VKRC4 KUKA</v>
      </c>
      <c r="H58" s="544">
        <f>Allg.!I58</f>
        <v>44215</v>
      </c>
      <c r="I58" s="544">
        <f t="shared" si="0"/>
        <v>45310</v>
      </c>
      <c r="J58" s="365" t="str">
        <f>Allg.!J58</f>
        <v>Pass</v>
      </c>
      <c r="K58" s="25">
        <v>44217.67391203704</v>
      </c>
    </row>
    <row r="59" spans="1:11" hidden="1">
      <c r="A59" s="365">
        <v>57</v>
      </c>
      <c r="B59" s="365" t="str">
        <f>Allg.!C59</f>
        <v>Sun, Manman</v>
      </c>
      <c r="C59" s="427" t="str">
        <f>Allg.!B59</f>
        <v>孙漫漫</v>
      </c>
      <c r="D59" s="365" t="str">
        <f>Allg.!D59</f>
        <v>320382198412159133</v>
      </c>
      <c r="E59" s="365" t="str">
        <f>Allg.!G59</f>
        <v>Shanghai QIDE Mechanical and Electrical Equipment Co.,Ltd</v>
      </c>
      <c r="F59" s="365" t="str">
        <f>Allg.!F59</f>
        <v>上海祈德机电设备有限公司</v>
      </c>
      <c r="G59" s="365" t="str">
        <f>Allg.!H59</f>
        <v>VASS V05 Siemens</v>
      </c>
      <c r="H59" s="544">
        <f>Allg.!I59</f>
        <v>44215</v>
      </c>
      <c r="I59" s="544">
        <f t="shared" si="0"/>
        <v>45310</v>
      </c>
      <c r="J59" s="365" t="str">
        <f>Allg.!J59</f>
        <v>Pass</v>
      </c>
      <c r="K59" s="25">
        <v>44217.675115740742</v>
      </c>
    </row>
    <row r="60" spans="1:11" hidden="1">
      <c r="A60" s="365">
        <v>58</v>
      </c>
      <c r="B60" s="365" t="str">
        <f>Allg.!C60</f>
        <v>Lan, Hongrui</v>
      </c>
      <c r="C60" s="427" t="str">
        <f>Allg.!B60</f>
        <v>兰红瑞</v>
      </c>
      <c r="D60" s="365" t="str">
        <f>Allg.!D60</f>
        <v>320723199012143454</v>
      </c>
      <c r="E60" s="365" t="str">
        <f>Allg.!G60</f>
        <v>Shanghai kezi Automatic Technology CO.,Ltd</v>
      </c>
      <c r="F60" s="365" t="str">
        <f>Allg.!F60</f>
        <v>上海科自自动化科技有限公司</v>
      </c>
      <c r="G60" s="365" t="str">
        <f>Allg.!H60</f>
        <v>VKRC4 KUKA</v>
      </c>
      <c r="H60" s="544">
        <f>Allg.!I60</f>
        <v>44313</v>
      </c>
      <c r="I60" s="544">
        <f t="shared" ref="I60:I106" si="1">DATE(YEAR(H60)+3,MONTH(H60),DAY(H60))</f>
        <v>45409</v>
      </c>
      <c r="J60" s="365" t="str">
        <f>Allg.!J60</f>
        <v>Pass</v>
      </c>
      <c r="K60" s="25">
        <v>44326.664189814815</v>
      </c>
    </row>
    <row r="61" spans="1:11" hidden="1">
      <c r="A61" s="365">
        <v>59</v>
      </c>
      <c r="B61" s="365" t="str">
        <f>Allg.!C61</f>
        <v>Zhu, Ming</v>
      </c>
      <c r="C61" s="427" t="str">
        <f>Allg.!B61</f>
        <v>朱明</v>
      </c>
      <c r="D61" s="365" t="str">
        <f>Allg.!D61</f>
        <v>341221199612255438</v>
      </c>
      <c r="E61" s="365" t="str">
        <f>Allg.!G61</f>
        <v>Shanghai kezi Automatic Technology CO.,Ltd</v>
      </c>
      <c r="F61" s="365" t="str">
        <f>Allg.!F61</f>
        <v>上海科自自动化科技有限公司</v>
      </c>
      <c r="G61" s="365" t="str">
        <f>Allg.!H61</f>
        <v>VKRC4 KUKA</v>
      </c>
      <c r="H61" s="544">
        <f>Allg.!I61</f>
        <v>44313</v>
      </c>
      <c r="I61" s="544">
        <f t="shared" si="1"/>
        <v>45409</v>
      </c>
      <c r="J61" s="365" t="str">
        <f>Allg.!J61</f>
        <v>Pass</v>
      </c>
      <c r="K61" s="25">
        <v>44326.664317129631</v>
      </c>
    </row>
    <row r="62" spans="1:11" hidden="1">
      <c r="A62" s="365">
        <v>60</v>
      </c>
      <c r="B62" s="365" t="str">
        <f>Allg.!C62</f>
        <v>Zhu,Yan</v>
      </c>
      <c r="C62" s="427" t="str">
        <f>Allg.!B62</f>
        <v>朱岩</v>
      </c>
      <c r="D62" s="365" t="str">
        <f>Allg.!D62</f>
        <v>341221198708015493</v>
      </c>
      <c r="E62" s="365" t="str">
        <f>Allg.!G62</f>
        <v>Shanghai kezi Automatic Technology CO.,Ltd</v>
      </c>
      <c r="F62" s="365" t="str">
        <f>Allg.!F62</f>
        <v>上海科自自动化科技有限公司</v>
      </c>
      <c r="G62" s="365" t="str">
        <f>Allg.!H62</f>
        <v>VKRC4 KUKA</v>
      </c>
      <c r="H62" s="544">
        <f>Allg.!I62</f>
        <v>44313</v>
      </c>
      <c r="I62" s="544">
        <f t="shared" si="1"/>
        <v>45409</v>
      </c>
      <c r="J62" s="365" t="str">
        <f>Allg.!J62</f>
        <v>Pass</v>
      </c>
      <c r="K62" s="25">
        <v>44326.664456018516</v>
      </c>
    </row>
    <row r="63" spans="1:11" hidden="1">
      <c r="A63" s="365">
        <v>61</v>
      </c>
      <c r="B63" s="365" t="str">
        <f>Allg.!C63</f>
        <v>Wang, Chong</v>
      </c>
      <c r="C63" s="427" t="str">
        <f>Allg.!B63</f>
        <v>王冲</v>
      </c>
      <c r="D63" s="365" t="str">
        <f>Allg.!D63</f>
        <v>421202199207204718</v>
      </c>
      <c r="E63" s="365" t="str">
        <f>Allg.!G63</f>
        <v>Shanghai kezi Automatic Technology CO.,Ltd</v>
      </c>
      <c r="F63" s="365" t="str">
        <f>Allg.!F63</f>
        <v>上海科自自动化科技有限公司</v>
      </c>
      <c r="G63" s="365" t="str">
        <f>Allg.!H63</f>
        <v>VKRC4 KUKA</v>
      </c>
      <c r="H63" s="544">
        <f>Allg.!I63</f>
        <v>44313</v>
      </c>
      <c r="I63" s="544">
        <f t="shared" si="1"/>
        <v>45409</v>
      </c>
      <c r="J63" s="365" t="str">
        <f>Allg.!J63</f>
        <v>Pass</v>
      </c>
      <c r="K63" s="25">
        <v>44326.664606481485</v>
      </c>
    </row>
    <row r="64" spans="1:11" hidden="1">
      <c r="A64" s="365">
        <v>62</v>
      </c>
      <c r="B64" s="365" t="str">
        <f>Allg.!C64</f>
        <v>Zhang, Qingyun</v>
      </c>
      <c r="C64" s="427" t="str">
        <f>Allg.!B64</f>
        <v>张青云</v>
      </c>
      <c r="D64" s="365" t="str">
        <f>Allg.!D64</f>
        <v>320826199303290432</v>
      </c>
      <c r="E64" s="365" t="str">
        <f>Allg.!G64</f>
        <v>Shanghai kezi Automatic Technology CO.,Ltd</v>
      </c>
      <c r="F64" s="365" t="str">
        <f>Allg.!F64</f>
        <v>上海科自自动化科技有限公司</v>
      </c>
      <c r="G64" s="365" t="str">
        <f>Allg.!H64</f>
        <v>VKRC4 KUKA</v>
      </c>
      <c r="H64" s="544">
        <f>Allg.!I64</f>
        <v>44313</v>
      </c>
      <c r="I64" s="544">
        <f t="shared" si="1"/>
        <v>45409</v>
      </c>
      <c r="J64" s="365" t="str">
        <f>Allg.!J64</f>
        <v>Pass</v>
      </c>
      <c r="K64" s="25">
        <v>44326.664814814816</v>
      </c>
    </row>
    <row r="65" spans="1:11" hidden="1">
      <c r="A65" s="365">
        <v>63</v>
      </c>
      <c r="B65" s="365" t="str">
        <f>Allg.!C65</f>
        <v>Sun, Hongyu</v>
      </c>
      <c r="C65" s="427" t="str">
        <f>Allg.!B65</f>
        <v>孙洪玉</v>
      </c>
      <c r="D65" s="365" t="str">
        <f>Allg.!D65</f>
        <v>220724198603015030</v>
      </c>
      <c r="E65" s="365" t="str">
        <f>Allg.!G65</f>
        <v>Shanghai kezi Automatic Technology CO.,Ltd</v>
      </c>
      <c r="F65" s="365" t="str">
        <f>Allg.!F65</f>
        <v>上海科自自动化科技有限公司</v>
      </c>
      <c r="G65" s="365" t="str">
        <f>Allg.!H65</f>
        <v>VKRC4 KUKA</v>
      </c>
      <c r="H65" s="544">
        <f>Allg.!I65</f>
        <v>44313</v>
      </c>
      <c r="I65" s="544">
        <f t="shared" si="1"/>
        <v>45409</v>
      </c>
      <c r="J65" s="365" t="str">
        <f>Allg.!J65</f>
        <v>Failed</v>
      </c>
      <c r="K65" s="181"/>
    </row>
    <row r="66" spans="1:11" hidden="1">
      <c r="A66" s="365">
        <v>64</v>
      </c>
      <c r="B66" s="365" t="str">
        <f>Allg.!C84</f>
        <v>Zhou, Jie</v>
      </c>
      <c r="C66" s="427" t="str">
        <f>Allg.!B84</f>
        <v>周杰</v>
      </c>
      <c r="D66" s="365" t="str">
        <f>Allg.!D84</f>
        <v>320821199003105117</v>
      </c>
      <c r="E66" s="365" t="str">
        <f>Allg.!G84</f>
        <v>Shanghai Jiuyuansheng Automation Co., Ltd.</v>
      </c>
      <c r="F66" s="365" t="str">
        <f>Allg.!F84</f>
        <v>上海九源晟自动化有限公司</v>
      </c>
      <c r="G66" s="365" t="str">
        <f>Allg.!H84</f>
        <v>VKRC4 KUKA</v>
      </c>
      <c r="H66" s="544">
        <f>Allg.!I84</f>
        <v>44313</v>
      </c>
      <c r="I66" s="544">
        <f t="shared" si="1"/>
        <v>45409</v>
      </c>
      <c r="J66" s="365" t="str">
        <f>Allg.!J84</f>
        <v>Pass</v>
      </c>
      <c r="K66" s="25">
        <v>44326.668495370373</v>
      </c>
    </row>
    <row r="67" spans="1:11" hidden="1">
      <c r="A67" s="365">
        <v>65</v>
      </c>
      <c r="B67" s="365" t="str">
        <f>Allg.!C85</f>
        <v>Ren, Haixin</v>
      </c>
      <c r="C67" s="427" t="str">
        <f>Allg.!B85</f>
        <v>任海鑫</v>
      </c>
      <c r="D67" s="365" t="str">
        <f>Allg.!D85</f>
        <v>230804199307070912</v>
      </c>
      <c r="E67" s="365" t="str">
        <f>Allg.!G85</f>
        <v>Shanghai Jiuyuansheng Automation Co., Ltd.</v>
      </c>
      <c r="F67" s="365" t="str">
        <f>Allg.!F85</f>
        <v>上海九源晟自动化有限公司</v>
      </c>
      <c r="G67" s="365" t="str">
        <f>Allg.!H85</f>
        <v>VKRC4 KUKA</v>
      </c>
      <c r="H67" s="544">
        <f>Allg.!I85</f>
        <v>44313</v>
      </c>
      <c r="I67" s="544">
        <f t="shared" si="1"/>
        <v>45409</v>
      </c>
      <c r="J67" s="365" t="str">
        <f>Allg.!J85</f>
        <v>Pass</v>
      </c>
      <c r="K67" s="25">
        <v>44326.668692129628</v>
      </c>
    </row>
    <row r="68" spans="1:11" hidden="1">
      <c r="A68" s="365">
        <v>66</v>
      </c>
      <c r="B68" s="365" t="str">
        <f>Allg.!C86</f>
        <v>Zhang, Chi</v>
      </c>
      <c r="C68" s="427" t="str">
        <f>Allg.!B86</f>
        <v>张驰</v>
      </c>
      <c r="D68" s="365" t="str">
        <f>Allg.!D86</f>
        <v>220104199507283832</v>
      </c>
      <c r="E68" s="365" t="str">
        <f>Allg.!G86</f>
        <v>Shanghai Jiuyuansheng Automation Co., Ltd.</v>
      </c>
      <c r="F68" s="365" t="str">
        <f>Allg.!F86</f>
        <v>上海九源晟自动化有限公司</v>
      </c>
      <c r="G68" s="365" t="str">
        <f>Allg.!H86</f>
        <v>VKRC4 KUKA</v>
      </c>
      <c r="H68" s="544">
        <f>Allg.!I86</f>
        <v>44313</v>
      </c>
      <c r="I68" s="544">
        <f t="shared" si="1"/>
        <v>45409</v>
      </c>
      <c r="J68" s="365" t="str">
        <f>Allg.!J86</f>
        <v>Pass</v>
      </c>
      <c r="K68" s="25">
        <v>44326.668912037036</v>
      </c>
    </row>
    <row r="69" spans="1:11" hidden="1">
      <c r="A69" s="365">
        <v>67</v>
      </c>
      <c r="B69" s="365" t="str">
        <f>Allg.!C87</f>
        <v>Huang, Xiangyang</v>
      </c>
      <c r="C69" s="427" t="str">
        <f>Allg.!B87</f>
        <v>黄向阳</v>
      </c>
      <c r="D69" s="365" t="str">
        <f>Allg.!D87</f>
        <v>411422198801206636</v>
      </c>
      <c r="E69" s="365" t="str">
        <f>Allg.!G87</f>
        <v>Shanghai Jiuyuansheng Automation Co., Ltd.</v>
      </c>
      <c r="F69" s="365" t="str">
        <f>Allg.!F87</f>
        <v>上海九源晟自动化有限公司</v>
      </c>
      <c r="G69" s="365" t="str">
        <f>Allg.!H87</f>
        <v>VKRC4 KUKA</v>
      </c>
      <c r="H69" s="544">
        <f>Allg.!I87</f>
        <v>44314</v>
      </c>
      <c r="I69" s="544">
        <f t="shared" si="1"/>
        <v>45410</v>
      </c>
      <c r="J69" s="365" t="str">
        <f>Allg.!J87</f>
        <v>Pass</v>
      </c>
      <c r="K69" s="25">
        <v>44326.669166666667</v>
      </c>
    </row>
    <row r="70" spans="1:11" hidden="1">
      <c r="A70" s="365">
        <v>68</v>
      </c>
      <c r="B70" s="365" t="str">
        <f>Allg.!C88</f>
        <v>Li, Jinpeng</v>
      </c>
      <c r="C70" s="427" t="str">
        <f>Allg.!B88</f>
        <v>李金澎</v>
      </c>
      <c r="D70" s="365" t="str">
        <f>Allg.!D88</f>
        <v>220183199804220411</v>
      </c>
      <c r="E70" s="365" t="str">
        <f>Allg.!G88</f>
        <v>Shanghai Jiuyuansheng Automation Co., Ltd.</v>
      </c>
      <c r="F70" s="365" t="str">
        <f>Allg.!F88</f>
        <v>上海九源晟自动化有限公司</v>
      </c>
      <c r="G70" s="365" t="str">
        <f>Allg.!H88</f>
        <v>VKRC4 KUKA</v>
      </c>
      <c r="H70" s="544">
        <f>Allg.!I88</f>
        <v>44314</v>
      </c>
      <c r="I70" s="544">
        <f t="shared" si="1"/>
        <v>45410</v>
      </c>
      <c r="J70" s="365" t="str">
        <f>Allg.!J88</f>
        <v>Pass</v>
      </c>
      <c r="K70" s="25">
        <v>44326.69840277778</v>
      </c>
    </row>
    <row r="71" spans="1:11" hidden="1">
      <c r="A71" s="365">
        <v>69</v>
      </c>
      <c r="B71" s="365" t="str">
        <f>Allg.!C71</f>
        <v>Liu, Hongda</v>
      </c>
      <c r="C71" s="427" t="str">
        <f>Allg.!B71</f>
        <v>刘宏达</v>
      </c>
      <c r="D71" s="365" t="str">
        <f>Allg.!D71</f>
        <v>220722199501163210</v>
      </c>
      <c r="E71" s="365" t="str">
        <f>Allg.!G71</f>
        <v>Leadec Industrial services (Shanghai) Co., Ltd.</v>
      </c>
      <c r="F71" s="365" t="str">
        <f>Allg.!F71</f>
        <v>利戴工业技术服务（上海）有限公司</v>
      </c>
      <c r="G71" s="365" t="str">
        <f>Allg.!H71</f>
        <v>VKRC4 KUKA</v>
      </c>
      <c r="H71" s="544">
        <f>Allg.!I71</f>
        <v>44314</v>
      </c>
      <c r="I71" s="544">
        <f t="shared" si="1"/>
        <v>45410</v>
      </c>
      <c r="J71" s="365" t="str">
        <f>Allg.!J71</f>
        <v>Failed</v>
      </c>
      <c r="K71" s="181"/>
    </row>
    <row r="72" spans="1:11" hidden="1">
      <c r="A72" s="365">
        <v>70</v>
      </c>
      <c r="B72" s="365" t="str">
        <f>Allg.!C89</f>
        <v>Huang, Xiaofei</v>
      </c>
      <c r="C72" s="427" t="str">
        <f>Allg.!B89</f>
        <v>黄晓飞</v>
      </c>
      <c r="D72" s="365" t="str">
        <f>Allg.!D89</f>
        <v>411422199404276619</v>
      </c>
      <c r="E72" s="365" t="str">
        <f>Allg.!G89</f>
        <v>Shanghai Jiuyuansheng Automation Co., Ltd.</v>
      </c>
      <c r="F72" s="365" t="str">
        <f>Allg.!F89</f>
        <v>上海九源晟自动化有限公司</v>
      </c>
      <c r="G72" s="365" t="str">
        <f>Allg.!H89</f>
        <v>VKRC4 KUKA</v>
      </c>
      <c r="H72" s="544">
        <f>Allg.!I89</f>
        <v>44314</v>
      </c>
      <c r="I72" s="544">
        <f t="shared" si="1"/>
        <v>45410</v>
      </c>
      <c r="J72" s="365" t="str">
        <f>Allg.!J89</f>
        <v>Pass</v>
      </c>
      <c r="K72" s="25">
        <v>44326.669756944444</v>
      </c>
    </row>
    <row r="73" spans="1:11" hidden="1">
      <c r="A73" s="365">
        <v>71</v>
      </c>
      <c r="B73" s="365" t="str">
        <f>Allg.!C90</f>
        <v>Wu, Yifan</v>
      </c>
      <c r="C73" s="427" t="str">
        <f>Allg.!B90</f>
        <v>吴轶凡</v>
      </c>
      <c r="D73" s="365" t="str">
        <f>Allg.!D90</f>
        <v>220822199809014831</v>
      </c>
      <c r="E73" s="365" t="str">
        <f>Allg.!G90</f>
        <v>Shanghai Jiuyuansheng Automation Co., Ltd.</v>
      </c>
      <c r="F73" s="365" t="str">
        <f>Allg.!F90</f>
        <v>上海九源晟自动化有限公司</v>
      </c>
      <c r="G73" s="365" t="str">
        <f>Allg.!H90</f>
        <v>VKRC4 KUKA</v>
      </c>
      <c r="H73" s="544">
        <f>Allg.!I90</f>
        <v>44314</v>
      </c>
      <c r="I73" s="544">
        <f t="shared" si="1"/>
        <v>45410</v>
      </c>
      <c r="J73" s="365" t="str">
        <f>Allg.!J90</f>
        <v>Pass</v>
      </c>
      <c r="K73" s="25">
        <v>44326.670104166667</v>
      </c>
    </row>
    <row r="74" spans="1:11" hidden="1">
      <c r="A74" s="365">
        <v>72</v>
      </c>
      <c r="B74" s="365" t="str">
        <f>Allg.!C92</f>
        <v>Du, Lin</v>
      </c>
      <c r="C74" s="427" t="str">
        <f>Allg.!B92</f>
        <v>杜林</v>
      </c>
      <c r="D74" s="365" t="str">
        <f>Allg.!D92</f>
        <v>342427198806136934</v>
      </c>
      <c r="E74" s="365" t="str">
        <f>Allg.!G92</f>
        <v>IFS (Shanghai) Co.,Ltd</v>
      </c>
      <c r="F74" s="365" t="str">
        <f>Allg.!F92</f>
        <v>埃伏斯智能科技（上海）有限公司</v>
      </c>
      <c r="G74" s="365" t="str">
        <f>Allg.!H92</f>
        <v>VASS V05 Siemens</v>
      </c>
      <c r="H74" s="544">
        <f>Allg.!I92</f>
        <v>44313</v>
      </c>
      <c r="I74" s="544">
        <f t="shared" si="1"/>
        <v>45409</v>
      </c>
      <c r="J74" s="365" t="str">
        <f>Allg.!J92</f>
        <v>Pass</v>
      </c>
      <c r="K74" s="25">
        <v>44326.670486111114</v>
      </c>
    </row>
    <row r="75" spans="1:11" hidden="1">
      <c r="A75" s="365">
        <v>73</v>
      </c>
      <c r="B75" s="365" t="str">
        <f>Allg.!C95</f>
        <v>Li, Jinfeng</v>
      </c>
      <c r="C75" s="427" t="str">
        <f>Allg.!B95</f>
        <v>李金峰</v>
      </c>
      <c r="D75" s="365" t="str">
        <f>Allg.!D95</f>
        <v>220103199412210415</v>
      </c>
      <c r="E75" s="365" t="str">
        <f>Allg.!G95</f>
        <v>FAW TOOLING DIE MANUFACTURING CO..LTD.</v>
      </c>
      <c r="F75" s="365" t="str">
        <f>Allg.!F95</f>
        <v>一汽模具制造有限公司</v>
      </c>
      <c r="G75" s="365" t="str">
        <f>Allg.!H95</f>
        <v>VKRC4 KUKA</v>
      </c>
      <c r="H75" s="544">
        <f>Allg.!I95</f>
        <v>44313</v>
      </c>
      <c r="I75" s="544">
        <f t="shared" si="1"/>
        <v>45409</v>
      </c>
      <c r="J75" s="365" t="str">
        <f>Allg.!J95</f>
        <v>Pass</v>
      </c>
      <c r="K75" s="25">
        <v>44326.670914351853</v>
      </c>
    </row>
    <row r="76" spans="1:11" hidden="1">
      <c r="A76" s="365">
        <v>74</v>
      </c>
      <c r="B76" s="365" t="str">
        <f>Allg.!C96</f>
        <v>Chen, Chong</v>
      </c>
      <c r="C76" s="427" t="str">
        <f>Allg.!B96</f>
        <v>陈冲</v>
      </c>
      <c r="D76" s="365" t="str">
        <f>Allg.!D96</f>
        <v>22020319870718653X</v>
      </c>
      <c r="E76" s="365" t="str">
        <f>Allg.!G96</f>
        <v>FAW TOOLING DIE MANUFACTURING CO..LTD.</v>
      </c>
      <c r="F76" s="365" t="str">
        <f>Allg.!F96</f>
        <v>一汽模具制造有限公司</v>
      </c>
      <c r="G76" s="365" t="str">
        <f>Allg.!H96</f>
        <v>VKRC4 KUKA</v>
      </c>
      <c r="H76" s="544">
        <f>Allg.!I96</f>
        <v>44313</v>
      </c>
      <c r="I76" s="544">
        <f t="shared" si="1"/>
        <v>45409</v>
      </c>
      <c r="J76" s="365" t="str">
        <f>Allg.!J96</f>
        <v>Pass</v>
      </c>
      <c r="K76" s="25">
        <v>44326.671342592592</v>
      </c>
    </row>
    <row r="77" spans="1:11" hidden="1">
      <c r="A77" s="365">
        <v>75</v>
      </c>
      <c r="B77" s="365" t="str">
        <f>Allg.!C77</f>
        <v>Liu, Xiaodong</v>
      </c>
      <c r="C77" s="427" t="str">
        <f>Allg.!B77</f>
        <v>刘晓东</v>
      </c>
      <c r="D77" s="365" t="str">
        <f>Allg.!D77</f>
        <v>410182198207046018</v>
      </c>
      <c r="E77" s="365" t="str">
        <f>Allg.!G77</f>
        <v>FAW Tooling Die Manufacturing Co.LTD</v>
      </c>
      <c r="F77" s="365" t="str">
        <f>Allg.!F77</f>
        <v>一汽模具制造有限公司</v>
      </c>
      <c r="G77" s="365" t="str">
        <f>Allg.!H77</f>
        <v>VASS V05 Siemens</v>
      </c>
      <c r="H77" s="544">
        <f>Allg.!I77</f>
        <v>44313</v>
      </c>
      <c r="I77" s="544">
        <f t="shared" si="1"/>
        <v>45409</v>
      </c>
      <c r="J77" s="365" t="str">
        <f>Allg.!J77</f>
        <v>Failed</v>
      </c>
      <c r="K77" s="181"/>
    </row>
    <row r="78" spans="1:11" hidden="1">
      <c r="A78" s="365">
        <v>76</v>
      </c>
      <c r="B78" s="365" t="str">
        <f>Allg.!C78</f>
        <v>Xiu, Yu</v>
      </c>
      <c r="C78" s="427" t="str">
        <f>Allg.!B78</f>
        <v>修瑜</v>
      </c>
      <c r="D78" s="365" t="str">
        <f>Allg.!D78</f>
        <v>220104199602122674</v>
      </c>
      <c r="E78" s="365" t="str">
        <f>Allg.!G78</f>
        <v>FAW Tooling Die Manufacturing Co.LTD</v>
      </c>
      <c r="F78" s="365" t="str">
        <f>Allg.!F78</f>
        <v>一汽模具制造有限公司</v>
      </c>
      <c r="G78" s="365" t="str">
        <f>Allg.!H78</f>
        <v>VASS V06 Siemens</v>
      </c>
      <c r="H78" s="544">
        <f>Allg.!I78</f>
        <v>44313</v>
      </c>
      <c r="I78" s="544">
        <f t="shared" si="1"/>
        <v>45409</v>
      </c>
      <c r="J78" s="365" t="str">
        <f>Allg.!J78</f>
        <v>Failed</v>
      </c>
      <c r="K78" s="181"/>
    </row>
    <row r="79" spans="1:11" hidden="1">
      <c r="A79" s="365">
        <v>77</v>
      </c>
      <c r="B79" s="365" t="str">
        <f>Allg.!C98</f>
        <v>Zhang, Dongyang</v>
      </c>
      <c r="C79" s="427" t="str">
        <f>Allg.!B98</f>
        <v>张冬阳</v>
      </c>
      <c r="D79" s="365" t="str">
        <f>Allg.!D98</f>
        <v>220381199301182415</v>
      </c>
      <c r="E79" s="365" t="str">
        <f>Allg.!G98</f>
        <v>FAW TOOLING DIE MANUFACTURING CO..LTD.</v>
      </c>
      <c r="F79" s="365" t="str">
        <f>Allg.!F98</f>
        <v>一汽模具制造有限公司</v>
      </c>
      <c r="G79" s="365" t="str">
        <f>Allg.!H98</f>
        <v>VKRC4 KUKA</v>
      </c>
      <c r="H79" s="544">
        <f>Allg.!I98</f>
        <v>44313</v>
      </c>
      <c r="I79" s="544">
        <f t="shared" si="1"/>
        <v>45409</v>
      </c>
      <c r="J79" s="365" t="str">
        <f>Allg.!J98</f>
        <v>Pass</v>
      </c>
      <c r="K79" s="25">
        <v>44326.671817129631</v>
      </c>
    </row>
    <row r="80" spans="1:11" hidden="1">
      <c r="A80" s="365">
        <v>78</v>
      </c>
      <c r="B80" s="365" t="str">
        <f>Allg.!C99</f>
        <v>Dong, Hongxiang</v>
      </c>
      <c r="C80" s="427" t="str">
        <f>Allg.!B99</f>
        <v>董宏翔</v>
      </c>
      <c r="D80" s="365" t="str">
        <f>Allg.!D99</f>
        <v>220282199007163214</v>
      </c>
      <c r="E80" s="365" t="str">
        <f>Allg.!G99</f>
        <v>FAW TOOLING DIE MANUFACTURING CO..LTD.</v>
      </c>
      <c r="F80" s="365" t="str">
        <f>Allg.!F99</f>
        <v>一汽模具制造有限公司</v>
      </c>
      <c r="G80" s="365" t="str">
        <f>Allg.!H99</f>
        <v>VKRC4 KUKA</v>
      </c>
      <c r="H80" s="544">
        <f>Allg.!I99</f>
        <v>44313</v>
      </c>
      <c r="I80" s="544">
        <f t="shared" si="1"/>
        <v>45409</v>
      </c>
      <c r="J80" s="365" t="str">
        <f>Allg.!J99</f>
        <v>Pass</v>
      </c>
      <c r="K80" s="25">
        <v>44326.672314814816</v>
      </c>
    </row>
    <row r="81" spans="1:11" hidden="1">
      <c r="A81" s="365">
        <v>79</v>
      </c>
      <c r="B81" s="365" t="str">
        <f>Allg.!C100</f>
        <v>Li, Weizhou</v>
      </c>
      <c r="C81" s="427" t="str">
        <f>Allg.!B100</f>
        <v>李伟洲</v>
      </c>
      <c r="D81" s="365" t="str">
        <f>Allg.!D100</f>
        <v>231181199010073712</v>
      </c>
      <c r="E81" s="365" t="str">
        <f>Allg.!G100</f>
        <v>FAW TOOLING DIE (TIANJIN) CO.,LTD</v>
      </c>
      <c r="F81" s="365" t="str">
        <f>Allg.!F100</f>
        <v>一汽模具（天津）有限公司</v>
      </c>
      <c r="G81" s="365" t="str">
        <f>Allg.!H100</f>
        <v>VKRC4 KUKA</v>
      </c>
      <c r="H81" s="544">
        <f>Allg.!I100</f>
        <v>44313</v>
      </c>
      <c r="I81" s="544">
        <f t="shared" si="1"/>
        <v>45409</v>
      </c>
      <c r="J81" s="365" t="str">
        <f>Allg.!J100</f>
        <v>Pass</v>
      </c>
      <c r="K81" s="25">
        <v>44326.672835648147</v>
      </c>
    </row>
    <row r="82" spans="1:11" hidden="1">
      <c r="A82" s="365">
        <v>80</v>
      </c>
      <c r="B82" s="365" t="str">
        <f>Allg.!C106</f>
        <v>Wu, Xiancheng</v>
      </c>
      <c r="C82" s="427" t="str">
        <f>Allg.!B106</f>
        <v>吴县城</v>
      </c>
      <c r="D82" s="365" t="str">
        <f>Allg.!D106</f>
        <v>340823198810152130</v>
      </c>
      <c r="E82" s="365" t="str">
        <f>Allg.!G106</f>
        <v>Shanghai Hanm Industrial Technology Co.,Ltd</v>
      </c>
      <c r="F82" s="365" t="str">
        <f>Allg.!F106</f>
        <v>上海悍蒙机电科技有限公司</v>
      </c>
      <c r="G82" s="365" t="str">
        <f>Allg.!H106</f>
        <v>VKRC4 KUKA</v>
      </c>
      <c r="H82" s="544">
        <f>Allg.!I106</f>
        <v>44314</v>
      </c>
      <c r="I82" s="544">
        <f t="shared" si="1"/>
        <v>45410</v>
      </c>
      <c r="J82" s="365" t="str">
        <f>Allg.!J106</f>
        <v>Pass</v>
      </c>
      <c r="K82" s="25">
        <v>44326.673402777778</v>
      </c>
    </row>
    <row r="83" spans="1:11" hidden="1">
      <c r="A83" s="365">
        <v>81</v>
      </c>
      <c r="B83" s="365" t="str">
        <f>Allg.!C79</f>
        <v>Sun, Peifu</v>
      </c>
      <c r="C83" s="427" t="str">
        <f>Allg.!B79</f>
        <v>孙配福</v>
      </c>
      <c r="D83" s="365" t="str">
        <f>Allg.!D79</f>
        <v>370112198905146014</v>
      </c>
      <c r="E83" s="365" t="str">
        <f>Allg.!G79</f>
        <v>Shanghai Jiuyuansheng Automation Co., Ltd.</v>
      </c>
      <c r="F83" s="365" t="str">
        <f>Allg.!F79</f>
        <v>上海九源晟自动化有限公司</v>
      </c>
      <c r="G83" s="365" t="str">
        <f>Allg.!H79</f>
        <v>VASS V06 Siemens</v>
      </c>
      <c r="H83" s="544">
        <f>Allg.!I79</f>
        <v>44313</v>
      </c>
      <c r="I83" s="544">
        <f t="shared" si="1"/>
        <v>45409</v>
      </c>
      <c r="J83" s="365" t="str">
        <f>Allg.!J79</f>
        <v>Pass</v>
      </c>
      <c r="K83" s="25">
        <v>44326.679340277777</v>
      </c>
    </row>
    <row r="84" spans="1:11" hidden="1">
      <c r="A84" s="365">
        <v>82</v>
      </c>
      <c r="B84" s="365" t="str">
        <f>Allg.!C80</f>
        <v>Sun, Cien</v>
      </c>
      <c r="C84" s="427" t="str">
        <f>Allg.!B80</f>
        <v>孙茨恩</v>
      </c>
      <c r="D84" s="365" t="str">
        <f>Allg.!D80</f>
        <v>410928198808200012</v>
      </c>
      <c r="E84" s="365" t="str">
        <f>Allg.!G80</f>
        <v>Shanghai Jiuyuansheng Automation Co., Ltd.</v>
      </c>
      <c r="F84" s="365" t="str">
        <f>Allg.!F80</f>
        <v>上海九源晟自动化有限公司</v>
      </c>
      <c r="G84" s="365" t="str">
        <f>Allg.!H80</f>
        <v>VASS V06 Siemens</v>
      </c>
      <c r="H84" s="544">
        <f>Allg.!I80</f>
        <v>44313</v>
      </c>
      <c r="I84" s="544">
        <f t="shared" si="1"/>
        <v>45409</v>
      </c>
      <c r="J84" s="365" t="str">
        <f>Allg.!J80</f>
        <v>Pass</v>
      </c>
      <c r="K84" s="25">
        <v>44326.679467592592</v>
      </c>
    </row>
    <row r="85" spans="1:11" hidden="1">
      <c r="A85" s="365">
        <v>83</v>
      </c>
      <c r="B85" s="365" t="str">
        <f>Allg.!C81</f>
        <v>Gu, Huanyu</v>
      </c>
      <c r="C85" s="427" t="str">
        <f>Allg.!B81</f>
        <v>顾环宇</v>
      </c>
      <c r="D85" s="365" t="str">
        <f>Allg.!D81</f>
        <v>230722198905151213</v>
      </c>
      <c r="E85" s="365" t="str">
        <f>Allg.!G81</f>
        <v>Shanghai Jiuyuansheng Automation Co., Ltd.</v>
      </c>
      <c r="F85" s="365" t="str">
        <f>Allg.!F81</f>
        <v>上海九源晟自动化有限公司</v>
      </c>
      <c r="G85" s="365" t="str">
        <f>Allg.!H81</f>
        <v>VASS V06 Siemens</v>
      </c>
      <c r="H85" s="544">
        <f>Allg.!I81</f>
        <v>44313</v>
      </c>
      <c r="I85" s="544">
        <f t="shared" si="1"/>
        <v>45409</v>
      </c>
      <c r="J85" s="365" t="str">
        <f>Allg.!J81</f>
        <v>Pass</v>
      </c>
      <c r="K85" s="25">
        <v>44326.679618055554</v>
      </c>
    </row>
    <row r="86" spans="1:11" hidden="1">
      <c r="A86" s="365">
        <v>84</v>
      </c>
      <c r="B86" s="365" t="str">
        <f>Allg.!C82</f>
        <v>Zhuang, Zheng</v>
      </c>
      <c r="C86" s="427" t="str">
        <f>Allg.!B82</f>
        <v>庄峥</v>
      </c>
      <c r="D86" s="365" t="str">
        <f>Allg.!D82</f>
        <v>320721198910125074</v>
      </c>
      <c r="E86" s="365" t="str">
        <f>Allg.!G82</f>
        <v>Shanghai Jiuyuansheng Automation Co., Ltd.</v>
      </c>
      <c r="F86" s="365" t="str">
        <f>Allg.!F82</f>
        <v>上海九源晟自动化有限公司</v>
      </c>
      <c r="G86" s="365" t="str">
        <f>Allg.!H82</f>
        <v>VASS V06 Siemens</v>
      </c>
      <c r="H86" s="544">
        <f>Allg.!I82</f>
        <v>44313</v>
      </c>
      <c r="I86" s="544">
        <f t="shared" si="1"/>
        <v>45409</v>
      </c>
      <c r="J86" s="365" t="str">
        <f>Allg.!J82</f>
        <v>Pass</v>
      </c>
      <c r="K86" s="25">
        <v>44326.679803240739</v>
      </c>
    </row>
    <row r="87" spans="1:11" hidden="1">
      <c r="A87" s="365">
        <v>85</v>
      </c>
      <c r="B87" s="365" t="str">
        <f>Allg.!C83</f>
        <v>Chen, Liqing</v>
      </c>
      <c r="C87" s="427" t="str">
        <f>Allg.!B83</f>
        <v>陈立庆</v>
      </c>
      <c r="D87" s="365" t="str">
        <f>Allg.!D83</f>
        <v>321023199204204410</v>
      </c>
      <c r="E87" s="365" t="str">
        <f>Allg.!G83</f>
        <v>Shanghai Jiuyuansheng Automation Co., Ltd.</v>
      </c>
      <c r="F87" s="365" t="str">
        <f>Allg.!F83</f>
        <v>上海九源晟自动化有限公司</v>
      </c>
      <c r="G87" s="365" t="str">
        <f>Allg.!H83</f>
        <v>VASS V06 Siemens</v>
      </c>
      <c r="H87" s="544">
        <f>Allg.!I83</f>
        <v>44313</v>
      </c>
      <c r="I87" s="544">
        <f t="shared" si="1"/>
        <v>45409</v>
      </c>
      <c r="J87" s="365" t="str">
        <f>Allg.!J83</f>
        <v>Pass</v>
      </c>
      <c r="K87" s="25">
        <v>44326.679988425924</v>
      </c>
    </row>
    <row r="88" spans="1:11" hidden="1">
      <c r="A88" s="365">
        <v>86</v>
      </c>
      <c r="B88" s="365" t="str">
        <f>Allg.!C101</f>
        <v>Ai, Daogong</v>
      </c>
      <c r="C88" s="427" t="str">
        <f>Allg.!B101</f>
        <v>艾道功</v>
      </c>
      <c r="D88" s="365" t="str">
        <f>Allg.!D101</f>
        <v>410329199009212517</v>
      </c>
      <c r="E88" s="365" t="str">
        <f>Allg.!G101</f>
        <v>Shanghai Hanm Industrial Technology Co.,Ltd</v>
      </c>
      <c r="F88" s="365" t="str">
        <f>Allg.!F101</f>
        <v>上海悍蒙机电科技有限公司</v>
      </c>
      <c r="G88" s="365" t="str">
        <f>Allg.!H101</f>
        <v>VASS V06 Siemens</v>
      </c>
      <c r="H88" s="544">
        <f>Allg.!I101</f>
        <v>44313</v>
      </c>
      <c r="I88" s="544">
        <f t="shared" si="1"/>
        <v>45409</v>
      </c>
      <c r="J88" s="365" t="str">
        <f>Allg.!J101</f>
        <v>Pass</v>
      </c>
      <c r="K88" s="25">
        <v>44326.680196759262</v>
      </c>
    </row>
    <row r="89" spans="1:11" hidden="1">
      <c r="A89" s="365">
        <v>87</v>
      </c>
      <c r="B89" s="365" t="str">
        <f>Allg.!C102</f>
        <v>Sun, Xiaolong</v>
      </c>
      <c r="C89" s="427" t="str">
        <f>Allg.!B102</f>
        <v>孙小龙</v>
      </c>
      <c r="D89" s="365" t="str">
        <f>Allg.!D102</f>
        <v>220183199602066014</v>
      </c>
      <c r="E89" s="365" t="str">
        <f>Allg.!G102</f>
        <v>Shanghai Hanm Industrial Technology Co.,Ltd</v>
      </c>
      <c r="F89" s="365" t="str">
        <f>Allg.!F102</f>
        <v>上海悍蒙机电科技有限公司</v>
      </c>
      <c r="G89" s="365" t="str">
        <f>Allg.!H102</f>
        <v>VASS V06 Siemens</v>
      </c>
      <c r="H89" s="544">
        <f>Allg.!I102</f>
        <v>44313</v>
      </c>
      <c r="I89" s="544">
        <f t="shared" si="1"/>
        <v>45409</v>
      </c>
      <c r="J89" s="365" t="str">
        <f>Allg.!J102</f>
        <v>Pass</v>
      </c>
      <c r="K89" s="25">
        <v>44326.680439814816</v>
      </c>
    </row>
    <row r="90" spans="1:11" hidden="1">
      <c r="A90" s="365">
        <v>88</v>
      </c>
      <c r="B90" s="365" t="str">
        <f>Allg.!C72</f>
        <v>Sheng, Fujian</v>
      </c>
      <c r="C90" s="427" t="str">
        <f>Allg.!B72</f>
        <v>生福健</v>
      </c>
      <c r="D90" s="365" t="str">
        <f>Allg.!D72</f>
        <v>210282199712185000</v>
      </c>
      <c r="E90" s="365" t="str">
        <f>Allg.!G72</f>
        <v>Leadec Industrial services (Shanghai) Co., Ltd.</v>
      </c>
      <c r="F90" s="365" t="str">
        <f>Allg.!F72</f>
        <v>利戴工业技术服务（上海）有限公司</v>
      </c>
      <c r="G90" s="365" t="str">
        <f>Allg.!H72</f>
        <v>VKRC4 KUKA</v>
      </c>
      <c r="H90" s="544">
        <f>Allg.!I72</f>
        <v>44314</v>
      </c>
      <c r="I90" s="544">
        <f t="shared" si="1"/>
        <v>45410</v>
      </c>
      <c r="J90" s="365" t="str">
        <f>Allg.!J72</f>
        <v>Pass</v>
      </c>
      <c r="K90" s="25">
        <v>44326.685266203705</v>
      </c>
    </row>
    <row r="91" spans="1:11" hidden="1">
      <c r="A91" s="365">
        <v>89</v>
      </c>
      <c r="B91" s="365" t="str">
        <f>Allg.!C91</f>
        <v>Sun, Yunchuan</v>
      </c>
      <c r="C91" s="427" t="str">
        <f>Allg.!B91</f>
        <v>孙云川</v>
      </c>
      <c r="D91" s="365" t="str">
        <f>Allg.!D91</f>
        <v>51092319930830353X</v>
      </c>
      <c r="E91" s="365" t="str">
        <f>Allg.!G91</f>
        <v>Shanghai Jiuyuansheng Automation Co., Ltd.</v>
      </c>
      <c r="F91" s="365" t="str">
        <f>Allg.!F91</f>
        <v>上海九源晟自动化有限公司</v>
      </c>
      <c r="G91" s="365" t="str">
        <f>Allg.!H91</f>
        <v>VKRC4 KUKA</v>
      </c>
      <c r="H91" s="544">
        <f>Allg.!I91</f>
        <v>44314</v>
      </c>
      <c r="I91" s="544">
        <f t="shared" si="1"/>
        <v>45410</v>
      </c>
      <c r="J91" s="365" t="str">
        <f>Allg.!J91</f>
        <v>Failed</v>
      </c>
      <c r="K91" s="181"/>
    </row>
    <row r="92" spans="1:11" hidden="1">
      <c r="A92" s="365">
        <v>90</v>
      </c>
      <c r="B92" s="365" t="str">
        <f>Allg.!C73</f>
        <v>Zhang, Xuwen</v>
      </c>
      <c r="C92" s="427" t="str">
        <f>Allg.!B73</f>
        <v>张续文</v>
      </c>
      <c r="D92" s="365" t="str">
        <f>Allg.!D73</f>
        <v>230623199501121830</v>
      </c>
      <c r="E92" s="365" t="str">
        <f>Allg.!G73</f>
        <v>Leadec Industrial services (Shanghai) Co., Ltd.</v>
      </c>
      <c r="F92" s="365" t="str">
        <f>Allg.!F73</f>
        <v>利戴工业技术服务（上海）有限公司</v>
      </c>
      <c r="G92" s="365" t="str">
        <f>Allg.!H73</f>
        <v>VKRC4 KUKA</v>
      </c>
      <c r="H92" s="544">
        <f>Allg.!I73</f>
        <v>44314</v>
      </c>
      <c r="I92" s="544">
        <f t="shared" si="1"/>
        <v>45410</v>
      </c>
      <c r="J92" s="365" t="str">
        <f>Allg.!J73</f>
        <v>Pass</v>
      </c>
      <c r="K92" s="25">
        <v>44326.685393518521</v>
      </c>
    </row>
    <row r="93" spans="1:11" ht="13.5" hidden="1" customHeight="1">
      <c r="A93" s="365">
        <v>91</v>
      </c>
      <c r="B93" s="365" t="str">
        <f>Allg.!C93</f>
        <v>Chen, Ming</v>
      </c>
      <c r="C93" s="427" t="str">
        <f>Allg.!B93</f>
        <v>陈明</v>
      </c>
      <c r="D93" s="365" t="str">
        <f>Allg.!D93</f>
        <v>42098419970812171X</v>
      </c>
      <c r="E93" s="365" t="str">
        <f>Allg.!G93</f>
        <v>IFS (Shanghai) Co.,Ltd</v>
      </c>
      <c r="F93" s="365" t="str">
        <f>Allg.!F93</f>
        <v>埃伏斯智能科技（上海）有限公司</v>
      </c>
      <c r="G93" s="365" t="str">
        <f>Allg.!H93</f>
        <v>VASS V05 Siemens</v>
      </c>
      <c r="H93" s="544">
        <f>Allg.!I93</f>
        <v>44313</v>
      </c>
      <c r="I93" s="544">
        <f t="shared" si="1"/>
        <v>45409</v>
      </c>
      <c r="J93" s="365" t="str">
        <f>Allg.!J93</f>
        <v>Failed</v>
      </c>
      <c r="K93" s="181"/>
    </row>
    <row r="94" spans="1:11" hidden="1">
      <c r="A94" s="365">
        <v>92</v>
      </c>
      <c r="B94" s="365" t="str">
        <f>Allg.!C94</f>
        <v>Hao, Dongyuan</v>
      </c>
      <c r="C94" s="427" t="str">
        <f>Allg.!B94</f>
        <v>郝东元</v>
      </c>
      <c r="D94" s="365" t="str">
        <f>Allg.!D94</f>
        <v>421181199701221935</v>
      </c>
      <c r="E94" s="365" t="str">
        <f>Allg.!G94</f>
        <v>IFS (Shanghai) Co.,Ltd</v>
      </c>
      <c r="F94" s="365" t="str">
        <f>Allg.!F94</f>
        <v>埃伏斯智能科技（上海）有限公司</v>
      </c>
      <c r="G94" s="365" t="str">
        <f>Allg.!H94</f>
        <v>VASS V05 Siemens</v>
      </c>
      <c r="H94" s="544">
        <f>Allg.!I94</f>
        <v>44313</v>
      </c>
      <c r="I94" s="544">
        <f t="shared" si="1"/>
        <v>45409</v>
      </c>
      <c r="J94" s="365" t="str">
        <f>Allg.!J94</f>
        <v>Failed</v>
      </c>
      <c r="K94" s="181"/>
    </row>
    <row r="95" spans="1:11" hidden="1">
      <c r="A95" s="365">
        <v>93</v>
      </c>
      <c r="B95" s="365" t="str">
        <f>Allg.!C74</f>
        <v>Li, Hai</v>
      </c>
      <c r="C95" s="427" t="str">
        <f>Allg.!B74</f>
        <v>李海</v>
      </c>
      <c r="D95" s="365" t="str">
        <f>Allg.!D74</f>
        <v>220181199002055335</v>
      </c>
      <c r="E95" s="365" t="str">
        <f>Allg.!G74</f>
        <v>Leadec Industrial services (Shanghai) Co., Ltd.</v>
      </c>
      <c r="F95" s="365" t="str">
        <f>Allg.!F74</f>
        <v>利戴工业技术服务（上海）有限公司</v>
      </c>
      <c r="G95" s="365" t="str">
        <f>Allg.!H74</f>
        <v>VASS V05 Siemens</v>
      </c>
      <c r="H95" s="544">
        <f>Allg.!I74</f>
        <v>44313</v>
      </c>
      <c r="I95" s="544">
        <f t="shared" si="1"/>
        <v>45409</v>
      </c>
      <c r="J95" s="365" t="str">
        <f>Allg.!J74</f>
        <v>Pass</v>
      </c>
      <c r="K95" s="25">
        <v>44326.68582175926</v>
      </c>
    </row>
    <row r="96" spans="1:11" hidden="1">
      <c r="A96" s="365">
        <v>94</v>
      </c>
      <c r="B96" s="365" t="str">
        <f>Allg.!C75</f>
        <v xml:space="preserve">Li, Shouxue </v>
      </c>
      <c r="C96" s="427" t="str">
        <f>Allg.!B75</f>
        <v>李守学</v>
      </c>
      <c r="D96" s="365" t="str">
        <f>Allg.!D75</f>
        <v>520202198503273011</v>
      </c>
      <c r="E96" s="365" t="str">
        <f>Allg.!G75</f>
        <v>Leadec Industrial services (Shanghai) Co., Ltd.</v>
      </c>
      <c r="F96" s="365" t="str">
        <f>Allg.!F75</f>
        <v>利戴工业技术服务（上海）有限公司</v>
      </c>
      <c r="G96" s="365" t="str">
        <f>Allg.!H75</f>
        <v>VASS V05 Siemens</v>
      </c>
      <c r="H96" s="544">
        <f>Allg.!I75</f>
        <v>44313</v>
      </c>
      <c r="I96" s="544">
        <f t="shared" si="1"/>
        <v>45409</v>
      </c>
      <c r="J96" s="365" t="str">
        <f>Allg.!J75</f>
        <v>Pass</v>
      </c>
      <c r="K96" s="25">
        <v>44326.685995370368</v>
      </c>
    </row>
    <row r="97" spans="1:11" hidden="1">
      <c r="A97" s="365">
        <v>95</v>
      </c>
      <c r="B97" s="365" t="str">
        <f>Allg.!C97</f>
        <v>Zhang, Hongtao</v>
      </c>
      <c r="C97" s="427" t="str">
        <f>Allg.!B97</f>
        <v>张洪涛</v>
      </c>
      <c r="D97" s="365" t="str">
        <f>Allg.!D97</f>
        <v>220581199302181976</v>
      </c>
      <c r="E97" s="365" t="str">
        <f>Allg.!G97</f>
        <v>FAW TOOLING DIE MANUFACTURING CO..LTD.</v>
      </c>
      <c r="F97" s="365" t="str">
        <f>Allg.!F97</f>
        <v>一汽模具制造有限公司</v>
      </c>
      <c r="G97" s="365" t="str">
        <f>Allg.!H97</f>
        <v>VKRC4 KUKA</v>
      </c>
      <c r="H97" s="544">
        <f>Allg.!I97</f>
        <v>44313</v>
      </c>
      <c r="I97" s="544">
        <f t="shared" si="1"/>
        <v>45409</v>
      </c>
      <c r="J97" s="365" t="str">
        <f>Allg.!J97</f>
        <v>Failed</v>
      </c>
      <c r="K97" s="181"/>
    </row>
    <row r="98" spans="1:11" hidden="1">
      <c r="A98" s="365">
        <v>96</v>
      </c>
      <c r="B98" s="365" t="str">
        <f>Allg.!C76</f>
        <v>Zhao, Yu</v>
      </c>
      <c r="C98" s="427" t="str">
        <f>Allg.!B76</f>
        <v>赵宇</v>
      </c>
      <c r="D98" s="365" t="str">
        <f>Allg.!D76</f>
        <v>220620199103101515</v>
      </c>
      <c r="E98" s="365" t="str">
        <f>Allg.!G76</f>
        <v>FAW Tooling Die Manufacturing Co.LTD</v>
      </c>
      <c r="F98" s="365" t="str">
        <f>Allg.!F76</f>
        <v>一汽模具制造有限公司</v>
      </c>
      <c r="G98" s="365" t="str">
        <f>Allg.!H76</f>
        <v>VASS V05 Siemens</v>
      </c>
      <c r="H98" s="544">
        <f>Allg.!I76</f>
        <v>44313</v>
      </c>
      <c r="I98" s="544">
        <f t="shared" si="1"/>
        <v>45409</v>
      </c>
      <c r="J98" s="365" t="str">
        <f>Allg.!J76</f>
        <v>Pass</v>
      </c>
      <c r="K98" s="25">
        <v>44326.686192129629</v>
      </c>
    </row>
    <row r="99" spans="1:11" hidden="1">
      <c r="A99" s="365">
        <v>97</v>
      </c>
      <c r="B99" s="365" t="str">
        <f>Allg.!C66</f>
        <v>Guan, Zhidong</v>
      </c>
      <c r="C99" s="427" t="str">
        <f>Allg.!B66</f>
        <v>管志东</v>
      </c>
      <c r="D99" s="365" t="str">
        <f>Allg.!D66</f>
        <v>32042319771009181X</v>
      </c>
      <c r="E99" s="365" t="str">
        <f>Allg.!G66</f>
        <v>SMRE CHANGCHUN CO.,LTD</v>
      </c>
      <c r="F99" s="365" t="str">
        <f>Allg.!F66</f>
        <v>司徒雅诺夫测量控制及电器技术（长春）有限公司</v>
      </c>
      <c r="G99" s="365" t="str">
        <f>Allg.!H66</f>
        <v>VKRC4 KUKA</v>
      </c>
      <c r="H99" s="544">
        <f>Allg.!I66</f>
        <v>44314</v>
      </c>
      <c r="I99" s="544">
        <f t="shared" si="1"/>
        <v>45410</v>
      </c>
      <c r="J99" s="365" t="str">
        <f>Allg.!J66</f>
        <v>Pass</v>
      </c>
      <c r="K99" s="25">
        <v>44326.688761574071</v>
      </c>
    </row>
    <row r="100" spans="1:11" hidden="1">
      <c r="A100" s="365">
        <v>98</v>
      </c>
      <c r="B100" s="365" t="str">
        <f>Allg.!C67</f>
        <v>Wang, Cong</v>
      </c>
      <c r="C100" s="427" t="str">
        <f>Allg.!B67</f>
        <v>王聪</v>
      </c>
      <c r="D100" s="365" t="str">
        <f>Allg.!D67</f>
        <v>220112198607260019</v>
      </c>
      <c r="E100" s="365" t="str">
        <f>Allg.!G67</f>
        <v>SMRE CHANGCHUN CO.,LTD</v>
      </c>
      <c r="F100" s="365" t="str">
        <f>Allg.!F67</f>
        <v>司徒雅诺夫测量控制及电器技术（长春）有限公司</v>
      </c>
      <c r="G100" s="365" t="str">
        <f>Allg.!H67</f>
        <v>VKRC4 KUKA</v>
      </c>
      <c r="H100" s="544">
        <f>Allg.!I67</f>
        <v>44314</v>
      </c>
      <c r="I100" s="544">
        <f t="shared" si="1"/>
        <v>45410</v>
      </c>
      <c r="J100" s="365" t="str">
        <f>Allg.!J67</f>
        <v>Pass</v>
      </c>
      <c r="K100" s="25">
        <v>44326.688900462963</v>
      </c>
    </row>
    <row r="101" spans="1:11" hidden="1">
      <c r="A101" s="365">
        <v>99</v>
      </c>
      <c r="B101" s="365" t="str">
        <f>Allg.!C68</f>
        <v>Dong, Ying</v>
      </c>
      <c r="C101" s="427" t="str">
        <f>Allg.!B68</f>
        <v>董莹</v>
      </c>
      <c r="D101" s="365" t="str">
        <f>Allg.!D68</f>
        <v>22010319931027491X</v>
      </c>
      <c r="E101" s="365" t="str">
        <f>Allg.!G68</f>
        <v>SMRE CHANGCHUN CO.,LTD</v>
      </c>
      <c r="F101" s="365" t="str">
        <f>Allg.!F68</f>
        <v>司徒雅诺夫测量控制及电器技术（长春）有限公司</v>
      </c>
      <c r="G101" s="365" t="str">
        <f>Allg.!H68</f>
        <v>VASS V06 Siemens</v>
      </c>
      <c r="H101" s="544">
        <f>Allg.!I68</f>
        <v>44313</v>
      </c>
      <c r="I101" s="544">
        <f t="shared" si="1"/>
        <v>45409</v>
      </c>
      <c r="J101" s="365" t="str">
        <f>Allg.!J68</f>
        <v>Pass</v>
      </c>
      <c r="K101" s="25">
        <v>44326.689398148148</v>
      </c>
    </row>
    <row r="102" spans="1:11" hidden="1">
      <c r="A102" s="365">
        <v>100</v>
      </c>
      <c r="B102" s="365" t="str">
        <f>Allg.!C69</f>
        <v>Chang, Xueliang</v>
      </c>
      <c r="C102" s="427" t="str">
        <f>Allg.!B69</f>
        <v>常雪亮</v>
      </c>
      <c r="D102" s="365" t="str">
        <f>Allg.!D69</f>
        <v>220724199302154613</v>
      </c>
      <c r="E102" s="365" t="str">
        <f>Allg.!G69</f>
        <v>SMRE CHANGCHUN CO.,LTD</v>
      </c>
      <c r="F102" s="365" t="str">
        <f>Allg.!F69</f>
        <v>司徒雅诺夫测量控制及电器技术（长春）有限公司</v>
      </c>
      <c r="G102" s="365" t="str">
        <f>Allg.!H69</f>
        <v>VASS V06 Siemens</v>
      </c>
      <c r="H102" s="544">
        <f>Allg.!I69</f>
        <v>44313</v>
      </c>
      <c r="I102" s="544">
        <f t="shared" si="1"/>
        <v>45409</v>
      </c>
      <c r="J102" s="365" t="str">
        <f>Allg.!J69</f>
        <v>Pass</v>
      </c>
      <c r="K102" s="25">
        <v>44326.689525462964</v>
      </c>
    </row>
    <row r="103" spans="1:11" hidden="1">
      <c r="A103" s="365">
        <v>101</v>
      </c>
      <c r="B103" s="365" t="str">
        <f>Allg.!C103</f>
        <v>Tian, Kang</v>
      </c>
      <c r="C103" s="427" t="str">
        <f>Allg.!B103</f>
        <v>田康</v>
      </c>
      <c r="D103" s="365" t="str">
        <f>Allg.!D103</f>
        <v>62270119970528203X</v>
      </c>
      <c r="E103" s="365" t="str">
        <f>Allg.!G103</f>
        <v>Shanghai Hanm Industrial Technology Co.,Ltd</v>
      </c>
      <c r="F103" s="365" t="str">
        <f>Allg.!F103</f>
        <v>上海悍蒙机电科技有限公司</v>
      </c>
      <c r="G103" s="365" t="str">
        <f>Allg.!H103</f>
        <v>VKRC4 KUKA</v>
      </c>
      <c r="H103" s="544">
        <f>Allg.!I103</f>
        <v>44314</v>
      </c>
      <c r="I103" s="544">
        <f t="shared" si="1"/>
        <v>45410</v>
      </c>
      <c r="J103" s="365" t="str">
        <f>Allg.!J103</f>
        <v>Failed</v>
      </c>
      <c r="K103" s="181"/>
    </row>
    <row r="104" spans="1:11" hidden="1">
      <c r="A104" s="365">
        <v>102</v>
      </c>
      <c r="B104" s="365" t="str">
        <f>Allg.!C104</f>
        <v>Liu, Zhengwei</v>
      </c>
      <c r="C104" s="427" t="str">
        <f>Allg.!B104</f>
        <v>刘政伟</v>
      </c>
      <c r="D104" s="365" t="str">
        <f>Allg.!D104</f>
        <v>22062219961123001X</v>
      </c>
      <c r="E104" s="365" t="str">
        <f>Allg.!G104</f>
        <v>Shanghai Hanm Industrial Technology Co.,Ltd</v>
      </c>
      <c r="F104" s="365" t="str">
        <f>Allg.!F104</f>
        <v>上海悍蒙机电科技有限公司</v>
      </c>
      <c r="G104" s="365" t="str">
        <f>Allg.!H104</f>
        <v>VKRC4 KUKA</v>
      </c>
      <c r="H104" s="544">
        <f>Allg.!I104</f>
        <v>44314</v>
      </c>
      <c r="I104" s="544">
        <f t="shared" si="1"/>
        <v>45410</v>
      </c>
      <c r="J104" s="365" t="str">
        <f>Allg.!J104</f>
        <v>Failed</v>
      </c>
      <c r="K104" s="181"/>
    </row>
    <row r="105" spans="1:11" hidden="1">
      <c r="A105" s="365">
        <v>103</v>
      </c>
      <c r="B105" s="365" t="str">
        <f>Allg.!C105</f>
        <v>Liu, Xinhao</v>
      </c>
      <c r="C105" s="427" t="str">
        <f>Allg.!B105</f>
        <v>刘鑫浩</v>
      </c>
      <c r="D105" s="365" t="str">
        <f>Allg.!D105</f>
        <v>130133199908131514</v>
      </c>
      <c r="E105" s="365" t="str">
        <f>Allg.!G105</f>
        <v>Shanghai Hanm Industrial Technology Co.,Ltd</v>
      </c>
      <c r="F105" s="365" t="str">
        <f>Allg.!F105</f>
        <v>上海悍蒙机电科技有限公司</v>
      </c>
      <c r="G105" s="365" t="str">
        <f>Allg.!H105</f>
        <v>VKRC4 KUKA</v>
      </c>
      <c r="H105" s="544">
        <f>Allg.!I105</f>
        <v>44314</v>
      </c>
      <c r="I105" s="544">
        <f t="shared" si="1"/>
        <v>45410</v>
      </c>
      <c r="J105" s="365" t="str">
        <f>Allg.!J105</f>
        <v>Failed</v>
      </c>
      <c r="K105" s="181"/>
    </row>
    <row r="106" spans="1:11" hidden="1">
      <c r="A106" s="365">
        <v>104</v>
      </c>
      <c r="B106" s="365" t="str">
        <f>Allg.!C70</f>
        <v>Wu, Zongke</v>
      </c>
      <c r="C106" s="427" t="str">
        <f>Allg.!B70</f>
        <v>吴宗科</v>
      </c>
      <c r="D106" s="365" t="str">
        <f>Allg.!D70</f>
        <v>620421198809181316</v>
      </c>
      <c r="E106" s="365" t="str">
        <f>Allg.!G70</f>
        <v>SMRE CHANGCHUN CO.,LTD</v>
      </c>
      <c r="F106" s="365" t="str">
        <f>Allg.!F70</f>
        <v>司徒雅诺夫测量控制及电器技术（长春）有限公司</v>
      </c>
      <c r="G106" s="365" t="str">
        <f>Allg.!H70</f>
        <v>VASS V06 Siemens</v>
      </c>
      <c r="H106" s="544">
        <f>Allg.!I70</f>
        <v>44313</v>
      </c>
      <c r="I106" s="544">
        <f t="shared" si="1"/>
        <v>45409</v>
      </c>
      <c r="J106" s="365" t="str">
        <f>Allg.!J70</f>
        <v>Pass</v>
      </c>
      <c r="K106" s="25">
        <v>44326.689664351848</v>
      </c>
    </row>
    <row r="107" spans="1:11" hidden="1">
      <c r="A107" s="365">
        <v>105</v>
      </c>
      <c r="B107" s="365" t="str">
        <f>Allg.!C107</f>
        <v>Wang, Tianlai</v>
      </c>
      <c r="C107" s="434" t="str">
        <f>Allg.!B107</f>
        <v>王天来</v>
      </c>
      <c r="D107" s="365" t="str">
        <f>Allg.!D107</f>
        <v>211481199508122019</v>
      </c>
      <c r="E107" s="365" t="str">
        <f>Allg.!G107</f>
        <v>Shanghai Hanm Industrial Technology Co.,Ltd</v>
      </c>
      <c r="F107" s="365" t="str">
        <f>Allg.!F107</f>
        <v>上海悍蒙机电科技有限公司</v>
      </c>
      <c r="G107" s="365" t="str">
        <f>Allg.!H107</f>
        <v>VKRC4 KUKA</v>
      </c>
      <c r="H107" s="544">
        <f>Allg.!I107</f>
        <v>44314</v>
      </c>
      <c r="I107" s="544">
        <f t="shared" ref="I107:I170" si="2">DATE(YEAR(H107)+3,MONTH(H107),DAY(H107))</f>
        <v>45410</v>
      </c>
      <c r="J107" s="365" t="str">
        <f>Allg.!J107</f>
        <v>Failed</v>
      </c>
      <c r="K107" s="181"/>
    </row>
    <row r="108" spans="1:11">
      <c r="A108" s="365">
        <v>106</v>
      </c>
      <c r="B108" s="365" t="str">
        <f>Allg.!C134</f>
        <v xml:space="preserve">Liu, Hao </v>
      </c>
      <c r="C108" s="546" t="str">
        <f>Allg.!B134</f>
        <v>刘豪</v>
      </c>
      <c r="D108" s="427" t="str">
        <f>Allg.!D134</f>
        <v>610522199503111010</v>
      </c>
      <c r="E108" s="547" t="str">
        <f>Allg.!G134</f>
        <v>Shanghai Yuou automated technology Co., Ltd.</v>
      </c>
      <c r="F108" s="365" t="str">
        <f>Allg.!F134</f>
        <v>上海禹欧自动化科技有限公司</v>
      </c>
      <c r="G108" s="365" t="str">
        <f>Allg.!H134</f>
        <v>VASS V06 Siemens</v>
      </c>
      <c r="H108" s="544">
        <f>Allg.!I134</f>
        <v>44607</v>
      </c>
      <c r="I108" s="544">
        <f t="shared" si="2"/>
        <v>45703</v>
      </c>
      <c r="J108" s="365">
        <f>Allg.!J134</f>
        <v>0</v>
      </c>
      <c r="K108" s="181"/>
    </row>
    <row r="109" spans="1:11">
      <c r="A109" s="365">
        <v>107</v>
      </c>
      <c r="B109" s="365" t="str">
        <f>Allg.!C135</f>
        <v>Wang, Qing</v>
      </c>
      <c r="C109" s="546" t="str">
        <f>Allg.!B135</f>
        <v>汪清</v>
      </c>
      <c r="D109" s="427" t="str">
        <f>Allg.!D135</f>
        <v>340811199201184734</v>
      </c>
      <c r="E109" s="547" t="str">
        <f>Allg.!G135</f>
        <v>B&amp;A automation technology co. Ltd</v>
      </c>
      <c r="F109" s="365" t="str">
        <f>Allg.!F135</f>
        <v>上海勃傲自动化系统有限公司</v>
      </c>
      <c r="G109" s="365" t="str">
        <f>Allg.!H135</f>
        <v>VASS V06 Siemens</v>
      </c>
      <c r="H109" s="544">
        <f>Allg.!I135</f>
        <v>44607</v>
      </c>
      <c r="I109" s="544">
        <f t="shared" si="2"/>
        <v>45703</v>
      </c>
      <c r="J109" s="365" t="str">
        <f>Allg.!J135</f>
        <v>Pass</v>
      </c>
      <c r="K109" s="181"/>
    </row>
    <row r="110" spans="1:11">
      <c r="A110" s="365">
        <v>108</v>
      </c>
      <c r="B110" s="365" t="str">
        <f>Allg.!C136</f>
        <v>Chen, Shaoyuan</v>
      </c>
      <c r="C110" s="546" t="str">
        <f>Allg.!B136</f>
        <v>陈绍源</v>
      </c>
      <c r="D110" s="427" t="str">
        <f>Allg.!D136</f>
        <v>510322199510056078</v>
      </c>
      <c r="E110" s="547" t="str">
        <f>Allg.!G136</f>
        <v>B&amp;A automation technology co. Ltd</v>
      </c>
      <c r="F110" s="365" t="str">
        <f>Allg.!F136</f>
        <v>上海勃傲自动化系统有限公司</v>
      </c>
      <c r="G110" s="365" t="str">
        <f>Allg.!H136</f>
        <v>VASS V06 Siemens</v>
      </c>
      <c r="H110" s="544">
        <f>Allg.!I136</f>
        <v>44607</v>
      </c>
      <c r="I110" s="544">
        <f t="shared" si="2"/>
        <v>45703</v>
      </c>
      <c r="J110" s="365" t="str">
        <f>Allg.!J136</f>
        <v>Pass</v>
      </c>
      <c r="K110" s="181"/>
    </row>
    <row r="111" spans="1:11">
      <c r="A111" s="365">
        <v>109</v>
      </c>
      <c r="B111" s="365" t="str">
        <f>Allg.!C137</f>
        <v>Zhu, Wenjun</v>
      </c>
      <c r="C111" s="546" t="str">
        <f>Allg.!B137</f>
        <v>朱文君</v>
      </c>
      <c r="D111" s="427" t="str">
        <f>Allg.!D137</f>
        <v>513701199412043911</v>
      </c>
      <c r="E111" s="547" t="str">
        <f>Allg.!G137</f>
        <v>B&amp;A automation technology co. Ltd</v>
      </c>
      <c r="F111" s="365" t="str">
        <f>Allg.!F137</f>
        <v>上海勃傲自动化系统有限公司</v>
      </c>
      <c r="G111" s="365" t="str">
        <f>Allg.!H137</f>
        <v>VASS V06 Siemens</v>
      </c>
      <c r="H111" s="544">
        <f>Allg.!I137</f>
        <v>44607</v>
      </c>
      <c r="I111" s="544">
        <f t="shared" si="2"/>
        <v>45703</v>
      </c>
      <c r="J111" s="365" t="str">
        <f>Allg.!J137</f>
        <v>Pass</v>
      </c>
      <c r="K111" s="181"/>
    </row>
    <row r="112" spans="1:11">
      <c r="A112" s="365">
        <v>110</v>
      </c>
      <c r="B112" s="365" t="str">
        <f>Allg.!C138</f>
        <v>Ma, Shuaihao</v>
      </c>
      <c r="C112" s="546" t="str">
        <f>Allg.!B138</f>
        <v>马帅浩</v>
      </c>
      <c r="D112" s="427" t="str">
        <f>Allg.!D138</f>
        <v>410329199710189597</v>
      </c>
      <c r="E112" s="547" t="str">
        <f>Allg.!G138</f>
        <v>B&amp;A automation technology co. Ltd</v>
      </c>
      <c r="F112" s="365" t="str">
        <f>Allg.!F138</f>
        <v>上海勃傲自动化系统有限公司</v>
      </c>
      <c r="G112" s="365" t="str">
        <f>Allg.!H138</f>
        <v>VASS V06 Siemens</v>
      </c>
      <c r="H112" s="544">
        <f>Allg.!I138</f>
        <v>44607</v>
      </c>
      <c r="I112" s="544">
        <f t="shared" si="2"/>
        <v>45703</v>
      </c>
      <c r="J112" s="365" t="str">
        <f>Allg.!J138</f>
        <v>Pass</v>
      </c>
      <c r="K112" s="181"/>
    </row>
    <row r="113" spans="1:10">
      <c r="A113" s="365">
        <v>111</v>
      </c>
      <c r="B113" s="365" t="str">
        <f>Allg.!C139</f>
        <v>Liao, Shengjie</v>
      </c>
      <c r="C113" s="546" t="str">
        <f>Allg.!B139</f>
        <v>廖圣洁</v>
      </c>
      <c r="D113" s="427" t="str">
        <f>Allg.!D139</f>
        <v>342425200001147932</v>
      </c>
      <c r="E113" s="547" t="str">
        <f>Allg.!G139</f>
        <v>B&amp;A automation technology co. Ltd</v>
      </c>
      <c r="F113" s="365" t="str">
        <f>Allg.!F139</f>
        <v>上海勃傲自动化系统有限公司</v>
      </c>
      <c r="G113" s="365" t="str">
        <f>Allg.!H139</f>
        <v>VASS V06 Siemens</v>
      </c>
      <c r="H113" s="544">
        <f>Allg.!I139</f>
        <v>44607</v>
      </c>
      <c r="I113" s="544">
        <f t="shared" si="2"/>
        <v>45703</v>
      </c>
      <c r="J113" s="365" t="str">
        <f>Allg.!J139</f>
        <v>Failed</v>
      </c>
    </row>
    <row r="114" spans="1:10">
      <c r="A114" s="365">
        <v>112</v>
      </c>
      <c r="B114" s="365" t="str">
        <f>Allg.!C140</f>
        <v>Li, Jiahao</v>
      </c>
      <c r="C114" s="546" t="str">
        <f>Allg.!B140</f>
        <v>李家豪</v>
      </c>
      <c r="D114" s="427" t="str">
        <f>Allg.!D140</f>
        <v>341621200108124137</v>
      </c>
      <c r="E114" s="547" t="str">
        <f>Allg.!G140</f>
        <v>B&amp;A automation technology co. Ltd</v>
      </c>
      <c r="F114" s="365" t="str">
        <f>Allg.!F140</f>
        <v>上海勃傲自动化系统有限公司</v>
      </c>
      <c r="G114" s="365" t="str">
        <f>Allg.!H140</f>
        <v>VASS V06 Siemens</v>
      </c>
      <c r="H114" s="544">
        <f>Allg.!I140</f>
        <v>44607</v>
      </c>
      <c r="I114" s="544">
        <f t="shared" si="2"/>
        <v>45703</v>
      </c>
      <c r="J114" s="365" t="str">
        <f>Allg.!J140</f>
        <v>Pass</v>
      </c>
    </row>
    <row r="115" spans="1:10">
      <c r="A115" s="365">
        <v>113</v>
      </c>
      <c r="B115" s="365" t="str">
        <f>Allg.!C141</f>
        <v>Fang, Zheng</v>
      </c>
      <c r="C115" s="546" t="str">
        <f>Allg.!B141</f>
        <v>方正</v>
      </c>
      <c r="D115" s="427" t="str">
        <f>Allg.!D141</f>
        <v>342221199812057832</v>
      </c>
      <c r="E115" s="547" t="str">
        <f>Allg.!G141</f>
        <v>B&amp;A automation technology co. Ltd</v>
      </c>
      <c r="F115" s="365" t="str">
        <f>Allg.!F141</f>
        <v>上海勃傲自动化系统有限公司</v>
      </c>
      <c r="G115" s="365" t="str">
        <f>Allg.!H141</f>
        <v>VASS V06 Siemens</v>
      </c>
      <c r="H115" s="544">
        <f>Allg.!I141</f>
        <v>44607</v>
      </c>
      <c r="I115" s="544">
        <f t="shared" si="2"/>
        <v>45703</v>
      </c>
      <c r="J115" s="365" t="str">
        <f>Allg.!J141</f>
        <v>Failed</v>
      </c>
    </row>
    <row r="116" spans="1:10">
      <c r="A116" s="365">
        <v>114</v>
      </c>
      <c r="B116" s="365" t="str">
        <f>Allg.!C142</f>
        <v>Lai, Guanming</v>
      </c>
      <c r="C116" s="546" t="str">
        <f>Allg.!B142</f>
        <v>赖观明</v>
      </c>
      <c r="D116" s="427" t="str">
        <f>Allg.!D142</f>
        <v>360731200111293813</v>
      </c>
      <c r="E116" s="547" t="str">
        <f>Allg.!G142</f>
        <v>B&amp;A automation technology co. Ltd</v>
      </c>
      <c r="F116" s="365" t="str">
        <f>Allg.!F142</f>
        <v>上海勃傲自动化系统有限公司</v>
      </c>
      <c r="G116" s="365" t="str">
        <f>Allg.!H142</f>
        <v>VASS V06 Siemens</v>
      </c>
      <c r="H116" s="544">
        <f>Allg.!I142</f>
        <v>44607</v>
      </c>
      <c r="I116" s="544">
        <f t="shared" si="2"/>
        <v>45703</v>
      </c>
      <c r="J116" s="365" t="str">
        <f>Allg.!J142</f>
        <v>Failed</v>
      </c>
    </row>
    <row r="117" spans="1:10">
      <c r="A117" s="365">
        <v>115</v>
      </c>
      <c r="B117" s="365" t="str">
        <f>Allg.!C143</f>
        <v>Li, Rui</v>
      </c>
      <c r="C117" s="546" t="str">
        <f>Allg.!B143</f>
        <v>李瑞</v>
      </c>
      <c r="D117" s="427" t="str">
        <f>Allg.!D143</f>
        <v>340881199508224314</v>
      </c>
      <c r="E117" s="547" t="str">
        <f>Allg.!G143</f>
        <v>B&amp;A automation technology co. Ltd</v>
      </c>
      <c r="F117" s="365" t="str">
        <f>Allg.!F143</f>
        <v>上海勃傲自动化系统有限公司</v>
      </c>
      <c r="G117" s="365" t="str">
        <f>Allg.!H143</f>
        <v>VASS V06 Siemens</v>
      </c>
      <c r="H117" s="544">
        <f>Allg.!I143</f>
        <v>44607</v>
      </c>
      <c r="I117" s="544">
        <f t="shared" si="2"/>
        <v>45703</v>
      </c>
      <c r="J117" s="365" t="str">
        <f>Allg.!J143</f>
        <v>Pass</v>
      </c>
    </row>
    <row r="118" spans="1:10">
      <c r="A118" s="365">
        <v>116</v>
      </c>
      <c r="B118" s="365" t="str">
        <f>Allg.!C144</f>
        <v>Hou, Jiachen</v>
      </c>
      <c r="C118" s="546" t="str">
        <f>Allg.!B144</f>
        <v>侯佳臣</v>
      </c>
      <c r="D118" s="427" t="str">
        <f>Allg.!D144</f>
        <v>341226199811244231</v>
      </c>
      <c r="E118" s="547" t="str">
        <f>Allg.!G144</f>
        <v>B&amp;A automation technology co. Ltd</v>
      </c>
      <c r="F118" s="365" t="str">
        <f>Allg.!F144</f>
        <v>上海勃傲自动化系统有限公司</v>
      </c>
      <c r="G118" s="365" t="str">
        <f>Allg.!H144</f>
        <v>VASS V06 Siemens</v>
      </c>
      <c r="H118" s="544">
        <f>Allg.!I144</f>
        <v>44607</v>
      </c>
      <c r="I118" s="544">
        <f t="shared" si="2"/>
        <v>45703</v>
      </c>
      <c r="J118" s="365" t="str">
        <f>Allg.!J144</f>
        <v>Failed</v>
      </c>
    </row>
    <row r="119" spans="1:10">
      <c r="A119" s="365">
        <v>117</v>
      </c>
      <c r="B119" s="365" t="str">
        <f>Allg.!C145</f>
        <v>Xu, Jincai</v>
      </c>
      <c r="C119" s="546" t="str">
        <f>Allg.!B145</f>
        <v>徐金才</v>
      </c>
      <c r="D119" s="427" t="str">
        <f>Allg.!D145</f>
        <v>320925198909207511</v>
      </c>
      <c r="E119" s="547" t="str">
        <f>Allg.!G145</f>
        <v>Kunshan Bosheng Electric Technology Co., Ltd.</v>
      </c>
      <c r="F119" s="365" t="str">
        <f>Allg.!F145</f>
        <v>昆山博盛电气科技有限公司</v>
      </c>
      <c r="G119" s="365" t="str">
        <f>Allg.!H145</f>
        <v>VASS V06 Siemens</v>
      </c>
      <c r="H119" s="544">
        <f>Allg.!I145</f>
        <v>44607</v>
      </c>
      <c r="I119" s="544">
        <f t="shared" si="2"/>
        <v>45703</v>
      </c>
      <c r="J119" s="365">
        <f>Allg.!J145</f>
        <v>0</v>
      </c>
    </row>
    <row r="120" spans="1:10">
      <c r="A120" s="365">
        <v>118</v>
      </c>
      <c r="B120" s="365" t="str">
        <f>Allg.!C146</f>
        <v>Li, Guangyou</v>
      </c>
      <c r="C120" s="546" t="str">
        <f>Allg.!B146</f>
        <v>李广友</v>
      </c>
      <c r="D120" s="427" t="str">
        <f>Allg.!D146</f>
        <v>320811199503164014</v>
      </c>
      <c r="E120" s="547" t="str">
        <f>Allg.!G146</f>
        <v>Kunshan Bosheng Electric Technology Co., Ltd.</v>
      </c>
      <c r="F120" s="365" t="str">
        <f>Allg.!F146</f>
        <v>昆山博盛电气科技有限公司</v>
      </c>
      <c r="G120" s="365" t="str">
        <f>Allg.!H146</f>
        <v>VASS V06 Siemens</v>
      </c>
      <c r="H120" s="544">
        <f>Allg.!I146</f>
        <v>44607</v>
      </c>
      <c r="I120" s="544">
        <f t="shared" si="2"/>
        <v>45703</v>
      </c>
      <c r="J120" s="365">
        <f>Allg.!J146</f>
        <v>0</v>
      </c>
    </row>
    <row r="121" spans="1:10">
      <c r="A121" s="365">
        <v>119</v>
      </c>
      <c r="B121" s="365" t="str">
        <f>Allg.!C147</f>
        <v>Zhong, Jian</v>
      </c>
      <c r="C121" s="546" t="str">
        <f>Allg.!B147</f>
        <v>钟健</v>
      </c>
      <c r="D121" s="427" t="str">
        <f>Allg.!D147</f>
        <v>430722198709204514</v>
      </c>
      <c r="E121" s="547" t="str">
        <f>Allg.!G147</f>
        <v>Kunshan Bosheng Electric Technology Co., Ltd.</v>
      </c>
      <c r="F121" s="365" t="str">
        <f>Allg.!F147</f>
        <v>昆山博盛电气科技有限公司</v>
      </c>
      <c r="G121" s="365" t="str">
        <f>Allg.!H147</f>
        <v>VASS V06 Siemens</v>
      </c>
      <c r="H121" s="544">
        <f>Allg.!I147</f>
        <v>44607</v>
      </c>
      <c r="I121" s="544">
        <f t="shared" si="2"/>
        <v>45703</v>
      </c>
      <c r="J121" s="365" t="str">
        <f>Allg.!J147</f>
        <v>Pass</v>
      </c>
    </row>
    <row r="122" spans="1:10">
      <c r="A122" s="365">
        <v>120</v>
      </c>
      <c r="B122" s="365" t="str">
        <f>Allg.!C148</f>
        <v>Shi, Rongjian</v>
      </c>
      <c r="C122" s="546" t="str">
        <f>Allg.!B148</f>
        <v>石荣建</v>
      </c>
      <c r="D122" s="427" t="str">
        <f>Allg.!D148</f>
        <v>32082119960615193X</v>
      </c>
      <c r="E122" s="547" t="str">
        <f>Allg.!G148</f>
        <v>Kunshan Bosheng Electric Technology Co., Ltd.</v>
      </c>
      <c r="F122" s="365" t="str">
        <f>Allg.!F148</f>
        <v>昆山博盛电气科技有限公司</v>
      </c>
      <c r="G122" s="365" t="str">
        <f>Allg.!H148</f>
        <v>VASS V06 Siemens</v>
      </c>
      <c r="H122" s="544">
        <f>Allg.!I148</f>
        <v>44607</v>
      </c>
      <c r="I122" s="544">
        <f t="shared" si="2"/>
        <v>45703</v>
      </c>
      <c r="J122" s="365">
        <f>Allg.!J148</f>
        <v>0</v>
      </c>
    </row>
    <row r="123" spans="1:10">
      <c r="A123" s="365">
        <v>121</v>
      </c>
      <c r="B123" s="365" t="str">
        <f>Allg.!C149</f>
        <v>Yuan, Zehong</v>
      </c>
      <c r="C123" s="546" t="str">
        <f>Allg.!B149</f>
        <v>袁泽鸿</v>
      </c>
      <c r="D123" s="427" t="str">
        <f>Allg.!D149</f>
        <v>320682200005224336</v>
      </c>
      <c r="E123" s="547" t="str">
        <f>Allg.!G149</f>
        <v>Kunshan Bosheng Electric Technology Co., Ltd.</v>
      </c>
      <c r="F123" s="365" t="str">
        <f>Allg.!F149</f>
        <v>昆山博盛电气科技有限公司</v>
      </c>
      <c r="G123" s="365" t="str">
        <f>Allg.!H149</f>
        <v>VASS V06 Siemens</v>
      </c>
      <c r="H123" s="544">
        <f>Allg.!I149</f>
        <v>44607</v>
      </c>
      <c r="I123" s="544">
        <f t="shared" si="2"/>
        <v>45703</v>
      </c>
      <c r="J123" s="365" t="str">
        <f>Allg.!J149</f>
        <v>Failed</v>
      </c>
    </row>
    <row r="124" spans="1:10">
      <c r="A124" s="365">
        <v>122</v>
      </c>
      <c r="B124" s="365" t="str">
        <f>Allg.!C150</f>
        <v>Wang, Yong</v>
      </c>
      <c r="C124" s="546" t="str">
        <f>Allg.!B150</f>
        <v>王勇</v>
      </c>
      <c r="D124" s="427" t="str">
        <f>Allg.!D150</f>
        <v>32072119991003541X</v>
      </c>
      <c r="E124" s="547" t="str">
        <f>Allg.!G150</f>
        <v>Kunshan Bosheng Electric Technology Co., Ltd.</v>
      </c>
      <c r="F124" s="365" t="str">
        <f>Allg.!F150</f>
        <v>昆山博盛电气科技有限公司</v>
      </c>
      <c r="G124" s="365" t="str">
        <f>Allg.!H150</f>
        <v>VASS V06 Siemens</v>
      </c>
      <c r="H124" s="544">
        <f>Allg.!I150</f>
        <v>44607</v>
      </c>
      <c r="I124" s="544">
        <f t="shared" si="2"/>
        <v>45703</v>
      </c>
      <c r="J124" s="365">
        <f>Allg.!J150</f>
        <v>0</v>
      </c>
    </row>
    <row r="125" spans="1:10">
      <c r="A125" s="365">
        <v>123</v>
      </c>
      <c r="B125" s="365" t="str">
        <f>Allg.!C151</f>
        <v>Yang, Ze</v>
      </c>
      <c r="C125" s="546" t="str">
        <f>Allg.!B151</f>
        <v>杨泽</v>
      </c>
      <c r="D125" s="427" t="str">
        <f>Allg.!D151</f>
        <v>220183199406057057</v>
      </c>
      <c r="E125" s="547" t="str">
        <f>Allg.!G151</f>
        <v>Kunshan Bosheng Electric Technology Co., Ltd.</v>
      </c>
      <c r="F125" s="365" t="str">
        <f>Allg.!F151</f>
        <v>昆山博盛电气科技有限公司</v>
      </c>
      <c r="G125" s="365" t="str">
        <f>Allg.!H151</f>
        <v>VASS V06 Siemens</v>
      </c>
      <c r="H125" s="544">
        <f>Allg.!I151</f>
        <v>44607</v>
      </c>
      <c r="I125" s="544">
        <f t="shared" si="2"/>
        <v>45703</v>
      </c>
      <c r="J125" s="365">
        <f>Allg.!J151</f>
        <v>0</v>
      </c>
    </row>
    <row r="126" spans="1:10">
      <c r="A126" s="365">
        <v>124</v>
      </c>
      <c r="B126" s="365" t="str">
        <f>Allg.!C152</f>
        <v>Gao, Yaping</v>
      </c>
      <c r="C126" s="546" t="str">
        <f>Allg.!B152</f>
        <v>高亚平</v>
      </c>
      <c r="D126" s="427" t="str">
        <f>Allg.!D152</f>
        <v>220182199705076614</v>
      </c>
      <c r="E126" s="547" t="str">
        <f>Allg.!G152</f>
        <v>Kunshan Bosheng Electric Technology Co., Ltd.</v>
      </c>
      <c r="F126" s="365" t="str">
        <f>Allg.!F152</f>
        <v>昆山博盛电气科技有限公司</v>
      </c>
      <c r="G126" s="365" t="str">
        <f>Allg.!H152</f>
        <v>VASS V06 Siemens</v>
      </c>
      <c r="H126" s="544">
        <f>Allg.!I152</f>
        <v>44607</v>
      </c>
      <c r="I126" s="544">
        <f t="shared" si="2"/>
        <v>45703</v>
      </c>
      <c r="J126" s="365">
        <f>Allg.!J152</f>
        <v>0</v>
      </c>
    </row>
    <row r="127" spans="1:10">
      <c r="A127" s="365">
        <v>125</v>
      </c>
      <c r="B127" s="365" t="str">
        <f>Allg.!C153</f>
        <v>Wang, Yingbo</v>
      </c>
      <c r="C127" s="546" t="str">
        <f>Allg.!B153</f>
        <v>王英博</v>
      </c>
      <c r="D127" s="427" t="str">
        <f>Allg.!D153</f>
        <v>410185199504103537</v>
      </c>
      <c r="E127" s="547" t="str">
        <f>Allg.!G153</f>
        <v>Kunshan Bosheng Electric Technology Co., Ltd.</v>
      </c>
      <c r="F127" s="365" t="str">
        <f>Allg.!F153</f>
        <v>昆山博盛电气科技有限公司</v>
      </c>
      <c r="G127" s="365" t="str">
        <f>Allg.!H153</f>
        <v>VASS V06 Siemens</v>
      </c>
      <c r="H127" s="544">
        <f>Allg.!I153</f>
        <v>44607</v>
      </c>
      <c r="I127" s="544">
        <f t="shared" si="2"/>
        <v>45703</v>
      </c>
      <c r="J127" s="365">
        <f>Allg.!J153</f>
        <v>0</v>
      </c>
    </row>
    <row r="128" spans="1:10">
      <c r="A128" s="365">
        <v>126</v>
      </c>
      <c r="B128" s="365" t="str">
        <f>Allg.!C154</f>
        <v>Wu, Tong</v>
      </c>
      <c r="C128" s="546" t="str">
        <f>Allg.!B154</f>
        <v>吴通</v>
      </c>
      <c r="D128" s="427" t="str">
        <f>Allg.!D154</f>
        <v>320322199311024713</v>
      </c>
      <c r="E128" s="547" t="str">
        <f>Allg.!G154</f>
        <v>Kunshan Bosheng Electric Technology Co., Ltd.</v>
      </c>
      <c r="F128" s="365" t="str">
        <f>Allg.!F154</f>
        <v>昆山博盛电气科技有限公司</v>
      </c>
      <c r="G128" s="365" t="str">
        <f>Allg.!H154</f>
        <v>VASS V06 Siemens</v>
      </c>
      <c r="H128" s="544">
        <f>Allg.!I154</f>
        <v>44607</v>
      </c>
      <c r="I128" s="544">
        <f t="shared" si="2"/>
        <v>45703</v>
      </c>
      <c r="J128" s="365" t="str">
        <f>Allg.!J154</f>
        <v>Pass</v>
      </c>
    </row>
    <row r="129" spans="1:10">
      <c r="A129" s="365">
        <v>127</v>
      </c>
      <c r="B129" s="365" t="str">
        <f>Allg.!C155</f>
        <v>Ma, Shuai</v>
      </c>
      <c r="C129" s="546" t="str">
        <f>Allg.!B155</f>
        <v>马帅</v>
      </c>
      <c r="D129" s="427" t="str">
        <f>Allg.!D155</f>
        <v>22018319961124285X</v>
      </c>
      <c r="E129" s="547" t="str">
        <f>Allg.!G155</f>
        <v>Kunshan Bosheng Electric Technology Co., Ltd.</v>
      </c>
      <c r="F129" s="365" t="str">
        <f>Allg.!F155</f>
        <v>昆山博盛电气科技有限公司</v>
      </c>
      <c r="G129" s="365" t="str">
        <f>Allg.!H155</f>
        <v>VASS V06 Siemens</v>
      </c>
      <c r="H129" s="544">
        <f>Allg.!I155</f>
        <v>44607</v>
      </c>
      <c r="I129" s="544">
        <f t="shared" si="2"/>
        <v>45703</v>
      </c>
      <c r="J129" s="365" t="str">
        <f>Allg.!J155</f>
        <v>Failed</v>
      </c>
    </row>
    <row r="130" spans="1:10">
      <c r="A130" s="365">
        <v>128</v>
      </c>
      <c r="B130" s="365" t="str">
        <f>Allg.!C156</f>
        <v>Wang, Jixun</v>
      </c>
      <c r="C130" s="546" t="str">
        <f>Allg.!B156</f>
        <v>王吉迅</v>
      </c>
      <c r="D130" s="427" t="str">
        <f>Allg.!D156</f>
        <v>210213198801282537</v>
      </c>
      <c r="E130" s="547" t="str">
        <f>Allg.!G156</f>
        <v>Dalian Auto Co., Ltd.</v>
      </c>
      <c r="F130" s="365" t="str">
        <f>Allg.!F156</f>
        <v>大连奥托股份有限公司</v>
      </c>
      <c r="G130" s="365" t="str">
        <f>Allg.!H156</f>
        <v>VASS V06 Siemens</v>
      </c>
      <c r="H130" s="544">
        <f>Allg.!I156</f>
        <v>44607</v>
      </c>
      <c r="I130" s="544">
        <f t="shared" si="2"/>
        <v>45703</v>
      </c>
      <c r="J130" s="365" t="str">
        <f>Allg.!J156</f>
        <v>Pass</v>
      </c>
    </row>
    <row r="131" spans="1:10">
      <c r="A131" s="365">
        <v>129</v>
      </c>
      <c r="B131" s="365" t="str">
        <f>Allg.!C157</f>
        <v>Xu, Zhiming</v>
      </c>
      <c r="C131" s="546" t="str">
        <f>Allg.!B157</f>
        <v>徐志明</v>
      </c>
      <c r="D131" s="427" t="str">
        <f>Allg.!D157</f>
        <v>22042219940908621X</v>
      </c>
      <c r="E131" s="547" t="str">
        <f>Allg.!G157</f>
        <v>Dalian Auto Co., Ltd.</v>
      </c>
      <c r="F131" s="365" t="str">
        <f>Allg.!F157</f>
        <v>大连奥托股份有限公司</v>
      </c>
      <c r="G131" s="365" t="str">
        <f>Allg.!H157</f>
        <v>VASS V06 Siemens</v>
      </c>
      <c r="H131" s="544">
        <f>Allg.!I157</f>
        <v>44607</v>
      </c>
      <c r="I131" s="544">
        <f t="shared" si="2"/>
        <v>45703</v>
      </c>
      <c r="J131" s="365" t="str">
        <f>Allg.!J157</f>
        <v>Failed</v>
      </c>
    </row>
    <row r="132" spans="1:10">
      <c r="A132" s="365">
        <v>130</v>
      </c>
      <c r="B132" s="365" t="str">
        <f>Allg.!C158</f>
        <v>Thorsten</v>
      </c>
      <c r="C132" s="546" t="str">
        <f>Allg.!B158</f>
        <v>Thorsten</v>
      </c>
      <c r="D132" s="427" t="str">
        <f>Allg.!D158</f>
        <v>CCR4RCG7H</v>
      </c>
      <c r="E132" s="547" t="str">
        <f>Allg.!G158</f>
        <v>Dalian Auto Co., Ltd.</v>
      </c>
      <c r="F132" s="365" t="str">
        <f>Allg.!F158</f>
        <v>大连奥托股份有限公司</v>
      </c>
      <c r="G132" s="365" t="str">
        <f>Allg.!H158</f>
        <v>VASS V06 Siemens</v>
      </c>
      <c r="H132" s="544">
        <f>Allg.!I158</f>
        <v>44607</v>
      </c>
      <c r="I132" s="544">
        <f t="shared" si="2"/>
        <v>45703</v>
      </c>
      <c r="J132" s="365" t="str">
        <f>Allg.!J158</f>
        <v>Pass</v>
      </c>
    </row>
    <row r="133" spans="1:10">
      <c r="A133" s="365">
        <v>131</v>
      </c>
      <c r="B133" s="365" t="str">
        <f>Allg.!C159</f>
        <v>Zhao, Pan</v>
      </c>
      <c r="C133" s="546" t="str">
        <f>Allg.!B159</f>
        <v>赵盼</v>
      </c>
      <c r="D133" s="427" t="str">
        <f>Allg.!D159</f>
        <v>340825199011303438</v>
      </c>
      <c r="E133" s="547" t="str">
        <f>Allg.!G159</f>
        <v>Jee Technology Co, Ltd.</v>
      </c>
      <c r="F133" s="365" t="str">
        <f>Allg.!F159</f>
        <v>安徽巨一科技股份有限公司</v>
      </c>
      <c r="G133" s="365" t="str">
        <f>Allg.!H159</f>
        <v>VASS V06 Siemens</v>
      </c>
      <c r="H133" s="544">
        <f>Allg.!I159</f>
        <v>44608</v>
      </c>
      <c r="I133" s="544">
        <f t="shared" si="2"/>
        <v>45704</v>
      </c>
      <c r="J133" s="365" t="str">
        <f>Allg.!J159</f>
        <v>Failed</v>
      </c>
    </row>
    <row r="134" spans="1:10">
      <c r="A134" s="365">
        <v>132</v>
      </c>
      <c r="B134" s="365" t="str">
        <f>Allg.!C160</f>
        <v>Ding, Jiagen</v>
      </c>
      <c r="C134" s="546" t="str">
        <f>Allg.!B160</f>
        <v>丁家根</v>
      </c>
      <c r="D134" s="427" t="str">
        <f>Allg.!D160</f>
        <v>340122198912164816</v>
      </c>
      <c r="E134" s="547" t="str">
        <f>Allg.!G160</f>
        <v>Jee Technology Co, Ltd.</v>
      </c>
      <c r="F134" s="365" t="str">
        <f>Allg.!F160</f>
        <v>安徽巨一科技股份有限公司</v>
      </c>
      <c r="G134" s="365" t="str">
        <f>Allg.!H160</f>
        <v>VASS V06 Siemens</v>
      </c>
      <c r="H134" s="544">
        <f>Allg.!I160</f>
        <v>44608</v>
      </c>
      <c r="I134" s="544">
        <f t="shared" si="2"/>
        <v>45704</v>
      </c>
      <c r="J134" s="365" t="str">
        <f>Allg.!J160</f>
        <v>Failed</v>
      </c>
    </row>
    <row r="135" spans="1:10">
      <c r="A135" s="365">
        <v>133</v>
      </c>
      <c r="B135" s="365" t="str">
        <f>Allg.!C161</f>
        <v>Chen, Houbiao</v>
      </c>
      <c r="C135" s="546" t="str">
        <f>Allg.!B161</f>
        <v>陈厚标</v>
      </c>
      <c r="D135" s="427" t="str">
        <f>Allg.!D161</f>
        <v>342422199511041092</v>
      </c>
      <c r="E135" s="547" t="str">
        <f>Allg.!G161</f>
        <v>Jee Technology Co, Ltd.</v>
      </c>
      <c r="F135" s="365" t="str">
        <f>Allg.!F161</f>
        <v>安徽巨一科技股份有限公司</v>
      </c>
      <c r="G135" s="365" t="str">
        <f>Allg.!H161</f>
        <v>VASS V06 Siemens</v>
      </c>
      <c r="H135" s="544">
        <f>Allg.!I161</f>
        <v>44608</v>
      </c>
      <c r="I135" s="544">
        <f t="shared" si="2"/>
        <v>45704</v>
      </c>
      <c r="J135" s="365" t="str">
        <f>Allg.!J161</f>
        <v>Failed</v>
      </c>
    </row>
    <row r="136" spans="1:10">
      <c r="A136" s="365">
        <v>134</v>
      </c>
      <c r="B136" s="365" t="str">
        <f>Allg.!C162</f>
        <v>Zhao, Xiangzhong</v>
      </c>
      <c r="C136" s="546" t="str">
        <f>Allg.!B162</f>
        <v>赵祥众</v>
      </c>
      <c r="D136" s="427" t="str">
        <f>Allg.!D162</f>
        <v>340122199002011698</v>
      </c>
      <c r="E136" s="547" t="str">
        <f>Allg.!G162</f>
        <v>Jee Technology Co, Ltd.</v>
      </c>
      <c r="F136" s="365" t="str">
        <f>Allg.!F162</f>
        <v>安徽巨一科技股份有限公司</v>
      </c>
      <c r="G136" s="365" t="str">
        <f>Allg.!H162</f>
        <v>VASS V06 Siemens</v>
      </c>
      <c r="H136" s="544">
        <f>Allg.!I162</f>
        <v>44608</v>
      </c>
      <c r="I136" s="544">
        <f t="shared" si="2"/>
        <v>45704</v>
      </c>
      <c r="J136" s="365" t="str">
        <f>Allg.!J162</f>
        <v>Failed</v>
      </c>
    </row>
    <row r="137" spans="1:10">
      <c r="A137" s="365">
        <v>135</v>
      </c>
      <c r="B137" s="365" t="str">
        <f>Allg.!C163</f>
        <v>Qiao, Renyuan</v>
      </c>
      <c r="C137" s="546" t="str">
        <f>Allg.!B163</f>
        <v>乔任远</v>
      </c>
      <c r="D137" s="427" t="str">
        <f>Allg.!D163</f>
        <v>320321199402033790</v>
      </c>
      <c r="E137" s="547" t="str">
        <f>Allg.!G163</f>
        <v>Shanghai Mingsu Electrical Engineering Technology Co., Ltd.</v>
      </c>
      <c r="F137" s="365" t="str">
        <f>Allg.!F163</f>
        <v>上海名苏机电工程技术有限公司</v>
      </c>
      <c r="G137" s="365" t="str">
        <f>Allg.!H163</f>
        <v>VASS V06 Siemens</v>
      </c>
      <c r="H137" s="544">
        <f>Allg.!I163</f>
        <v>44608</v>
      </c>
      <c r="I137" s="544">
        <f t="shared" si="2"/>
        <v>45704</v>
      </c>
      <c r="J137" s="365" t="str">
        <f>Allg.!J163</f>
        <v>Pass</v>
      </c>
    </row>
    <row r="138" spans="1:10">
      <c r="A138" s="365">
        <v>136</v>
      </c>
      <c r="B138" s="365" t="str">
        <f>Allg.!C164</f>
        <v>Wang, Yafei</v>
      </c>
      <c r="C138" s="546" t="str">
        <f>Allg.!B164</f>
        <v>王亚飞</v>
      </c>
      <c r="D138" s="427" t="str">
        <f>Allg.!D164</f>
        <v>140624199408280559</v>
      </c>
      <c r="E138" s="547" t="str">
        <f>Allg.!G164</f>
        <v>Shanghai Mingsu Electrical Engineering Technology Co., Ltd.</v>
      </c>
      <c r="F138" s="365" t="str">
        <f>Allg.!F164</f>
        <v>上海名苏机电工程技术有限公司</v>
      </c>
      <c r="G138" s="365" t="str">
        <f>Allg.!H164</f>
        <v>VASS V06 Siemens</v>
      </c>
      <c r="H138" s="544">
        <f>Allg.!I164</f>
        <v>44608</v>
      </c>
      <c r="I138" s="544">
        <f t="shared" si="2"/>
        <v>45704</v>
      </c>
      <c r="J138" s="365" t="str">
        <f>Allg.!J164</f>
        <v>Pass</v>
      </c>
    </row>
    <row r="139" spans="1:10">
      <c r="A139" s="365">
        <v>137</v>
      </c>
      <c r="B139" s="365" t="str">
        <f>Allg.!C165</f>
        <v>Zhao, Yue</v>
      </c>
      <c r="C139" s="546" t="str">
        <f>Allg.!B165</f>
        <v>赵岳</v>
      </c>
      <c r="D139" s="427" t="str">
        <f>Allg.!D165</f>
        <v>140602199502281779</v>
      </c>
      <c r="E139" s="547" t="str">
        <f>Allg.!G165</f>
        <v>Shanghai Mingsu Electrical Engineering Technology Co., Ltd.</v>
      </c>
      <c r="F139" s="365" t="str">
        <f>Allg.!F165</f>
        <v>上海名苏机电工程技术有限公司</v>
      </c>
      <c r="G139" s="365" t="str">
        <f>Allg.!H165</f>
        <v>VASS V06 Siemens</v>
      </c>
      <c r="H139" s="544">
        <f>Allg.!I165</f>
        <v>44608</v>
      </c>
      <c r="I139" s="544">
        <f t="shared" si="2"/>
        <v>45704</v>
      </c>
      <c r="J139" s="365" t="str">
        <f>Allg.!J165</f>
        <v>Failed</v>
      </c>
    </row>
    <row r="140" spans="1:10">
      <c r="A140" s="365">
        <v>138</v>
      </c>
      <c r="B140" s="365" t="str">
        <f>Allg.!C166</f>
        <v>Xue, Zuliang.</v>
      </c>
      <c r="C140" s="546" t="str">
        <f>Allg.!B166</f>
        <v>薛祖亮</v>
      </c>
      <c r="D140" s="427" t="str">
        <f>Allg.!D166</f>
        <v>320621198708112215</v>
      </c>
      <c r="E140" s="547" t="str">
        <f>Allg.!G166</f>
        <v>Shanghai Mingsu Electrical Engineering Technology Co., Ltd.</v>
      </c>
      <c r="F140" s="365" t="str">
        <f>Allg.!F166</f>
        <v>上海名苏机电工程技术有限公司</v>
      </c>
      <c r="G140" s="365" t="str">
        <f>Allg.!H166</f>
        <v>VASS V06 Siemens</v>
      </c>
      <c r="H140" s="544">
        <f>Allg.!I166</f>
        <v>44608</v>
      </c>
      <c r="I140" s="544">
        <f t="shared" si="2"/>
        <v>45704</v>
      </c>
      <c r="J140" s="365" t="str">
        <f>Allg.!J166</f>
        <v>Pass</v>
      </c>
    </row>
    <row r="141" spans="1:10">
      <c r="A141" s="365">
        <v>139</v>
      </c>
      <c r="B141" s="365" t="str">
        <f>Allg.!C167</f>
        <v>Cao, Bo</v>
      </c>
      <c r="C141" s="546" t="str">
        <f>Allg.!B167</f>
        <v>曹波</v>
      </c>
      <c r="D141" s="427" t="str">
        <f>Allg.!D167</f>
        <v>371324198806138374</v>
      </c>
      <c r="E141" s="547" t="str">
        <f>Allg.!G167</f>
        <v>Shanghai Mingsu Electrical Engineering Technology Co., Ltd.</v>
      </c>
      <c r="F141" s="365" t="str">
        <f>Allg.!F167</f>
        <v>上海名苏机电工程技术有限公司</v>
      </c>
      <c r="G141" s="365" t="str">
        <f>Allg.!H167</f>
        <v>VASS V06 Siemens</v>
      </c>
      <c r="H141" s="544">
        <f>Allg.!I167</f>
        <v>44608</v>
      </c>
      <c r="I141" s="544">
        <f t="shared" si="2"/>
        <v>45704</v>
      </c>
      <c r="J141" s="365" t="str">
        <f>Allg.!J167</f>
        <v>Pass</v>
      </c>
    </row>
    <row r="142" spans="1:10">
      <c r="A142" s="365">
        <v>140</v>
      </c>
      <c r="B142" s="365" t="str">
        <f>Allg.!C168</f>
        <v>Wan, Lilin</v>
      </c>
      <c r="C142" s="546" t="str">
        <f>Allg.!B168</f>
        <v>万李林</v>
      </c>
      <c r="D142" s="427" t="str">
        <f>Allg.!D168</f>
        <v>421087199712053212</v>
      </c>
      <c r="E142" s="547" t="str">
        <f>Allg.!G168</f>
        <v>Shanghai Mingsu Electrical Engineering Technology Co., Ltd.</v>
      </c>
      <c r="F142" s="365" t="str">
        <f>Allg.!F168</f>
        <v>上海名苏机电工程技术有限公司</v>
      </c>
      <c r="G142" s="365" t="str">
        <f>Allg.!H168</f>
        <v>VASS V06 Siemens</v>
      </c>
      <c r="H142" s="544">
        <f>Allg.!I168</f>
        <v>44609</v>
      </c>
      <c r="I142" s="544">
        <f t="shared" si="2"/>
        <v>45705</v>
      </c>
      <c r="J142" s="365" t="str">
        <f>Allg.!J168</f>
        <v>Failed</v>
      </c>
    </row>
    <row r="143" spans="1:10">
      <c r="A143" s="365">
        <v>141</v>
      </c>
      <c r="B143" s="365" t="str">
        <f>Allg.!C169</f>
        <v>Zheng, Haimeng</v>
      </c>
      <c r="C143" s="546" t="str">
        <f>Allg.!B169</f>
        <v>郑海猛</v>
      </c>
      <c r="D143" s="427" t="str">
        <f>Allg.!D169</f>
        <v>342422199402152156</v>
      </c>
      <c r="E143" s="547" t="str">
        <f>Allg.!G169</f>
        <v>Shanghai Mingsu Electrical Engineering Technology Co., Ltd.</v>
      </c>
      <c r="F143" s="365" t="str">
        <f>Allg.!F169</f>
        <v>上海名苏机电工程技术有限公司</v>
      </c>
      <c r="G143" s="365" t="str">
        <f>Allg.!H169</f>
        <v>VASS V06 Siemens</v>
      </c>
      <c r="H143" s="544">
        <f>Allg.!I169</f>
        <v>44610</v>
      </c>
      <c r="I143" s="544">
        <f t="shared" si="2"/>
        <v>45706</v>
      </c>
      <c r="J143" s="365" t="str">
        <f>Allg.!J169</f>
        <v>Failed</v>
      </c>
    </row>
    <row r="144" spans="1:10">
      <c r="A144" s="365">
        <v>142</v>
      </c>
      <c r="B144" s="365" t="str">
        <f>Allg.!C170</f>
        <v>Li, Dongshao</v>
      </c>
      <c r="C144" s="546" t="str">
        <f>Allg.!B170</f>
        <v>李东韶</v>
      </c>
      <c r="D144" s="427" t="str">
        <f>Allg.!D170</f>
        <v>410423198105202039</v>
      </c>
      <c r="E144" s="547" t="str">
        <f>Allg.!G170</f>
        <v>Shanghai Hanhao Automation Engineering &amp; Technology Co., Ltd.</v>
      </c>
      <c r="F144" s="365" t="str">
        <f>Allg.!F170</f>
        <v>上海瀚灏自动化工程技术有限公司</v>
      </c>
      <c r="G144" s="365" t="str">
        <f>Allg.!H170</f>
        <v>VASS V06 Siemens</v>
      </c>
      <c r="H144" s="544">
        <f>Allg.!I170</f>
        <v>44607</v>
      </c>
      <c r="I144" s="544">
        <f t="shared" si="2"/>
        <v>45703</v>
      </c>
      <c r="J144" s="365" t="str">
        <f>Allg.!J170</f>
        <v>Pass</v>
      </c>
    </row>
    <row r="145" spans="1:10">
      <c r="A145" s="365">
        <v>143</v>
      </c>
      <c r="B145" s="365" t="str">
        <f>Allg.!C171</f>
        <v>Shen, Feifei</v>
      </c>
      <c r="C145" s="546" t="str">
        <f>Allg.!B171</f>
        <v>沈菲菲</v>
      </c>
      <c r="D145" s="427" t="str">
        <f>Allg.!D171</f>
        <v>32062119881128121X</v>
      </c>
      <c r="E145" s="547" t="str">
        <f>Allg.!G171</f>
        <v>Shanghai Hanhao Automation Engineering &amp; Technology Co., Ltd.</v>
      </c>
      <c r="F145" s="365" t="str">
        <f>Allg.!F171</f>
        <v>上海瀚灏自动化工程技术有限公司</v>
      </c>
      <c r="G145" s="365" t="str">
        <f>Allg.!H171</f>
        <v>VASS V06 Siemens</v>
      </c>
      <c r="H145" s="544">
        <f>Allg.!I171</f>
        <v>44607</v>
      </c>
      <c r="I145" s="544">
        <f t="shared" si="2"/>
        <v>45703</v>
      </c>
      <c r="J145" s="365" t="str">
        <f>Allg.!J171</f>
        <v>Pass</v>
      </c>
    </row>
    <row r="146" spans="1:10">
      <c r="A146" s="365">
        <v>144</v>
      </c>
      <c r="B146" s="365" t="str">
        <f>Allg.!C172</f>
        <v>Yin, Shupeng</v>
      </c>
      <c r="C146" s="546" t="str">
        <f>Allg.!B172</f>
        <v>尹淑鹏</v>
      </c>
      <c r="D146" s="427" t="str">
        <f>Allg.!D172</f>
        <v>412702199505011857</v>
      </c>
      <c r="E146" s="547" t="str">
        <f>Allg.!G172</f>
        <v>Shanghai Hanhao Automation Engineering &amp; Technology Co., Ltd.</v>
      </c>
      <c r="F146" s="365" t="str">
        <f>Allg.!F172</f>
        <v>上海瀚灏自动化工程技术有限公司</v>
      </c>
      <c r="G146" s="365" t="str">
        <f>Allg.!H172</f>
        <v>VASS V06 Siemens</v>
      </c>
      <c r="H146" s="544">
        <f>Allg.!I172</f>
        <v>44607</v>
      </c>
      <c r="I146" s="544">
        <f t="shared" si="2"/>
        <v>45703</v>
      </c>
      <c r="J146" s="365" t="str">
        <f>Allg.!J172</f>
        <v>Failed</v>
      </c>
    </row>
    <row r="147" spans="1:10">
      <c r="A147" s="365">
        <v>145</v>
      </c>
      <c r="B147" s="365" t="str">
        <f>Allg.!C173</f>
        <v>He, Xiaobing</v>
      </c>
      <c r="C147" s="546" t="str">
        <f>Allg.!B173</f>
        <v>何小兵</v>
      </c>
      <c r="D147" s="427" t="str">
        <f>Allg.!D173</f>
        <v>320981198510295717</v>
      </c>
      <c r="E147" s="547" t="str">
        <f>Allg.!G173</f>
        <v>Siemens Factory Automation Engineering Ltd.</v>
      </c>
      <c r="F147" s="365" t="str">
        <f>Allg.!F173</f>
        <v>西门子工厂自动化工程有限公司</v>
      </c>
      <c r="G147" s="365" t="str">
        <f>Allg.!H173</f>
        <v>VASS V06 Siemens</v>
      </c>
      <c r="H147" s="544">
        <f>Allg.!I173</f>
        <v>44608</v>
      </c>
      <c r="I147" s="544">
        <f t="shared" si="2"/>
        <v>45704</v>
      </c>
      <c r="J147" s="365" t="str">
        <f>Allg.!J173</f>
        <v>Pass</v>
      </c>
    </row>
    <row r="148" spans="1:10">
      <c r="A148" s="365">
        <v>146</v>
      </c>
      <c r="B148" s="365" t="str">
        <f>Allg.!C174</f>
        <v>Liu, Hongjun</v>
      </c>
      <c r="C148" s="546" t="str">
        <f>Allg.!B174</f>
        <v>刘红军</v>
      </c>
      <c r="D148" s="427" t="str">
        <f>Allg.!D174</f>
        <v>430522198212212673</v>
      </c>
      <c r="E148" s="547" t="str">
        <f>Allg.!G174</f>
        <v>Siemens Factory Automation Engineering Ltd.</v>
      </c>
      <c r="F148" s="365" t="str">
        <f>Allg.!F174</f>
        <v>西门子工厂自动化工程有限公司</v>
      </c>
      <c r="G148" s="365" t="str">
        <f>Allg.!H174</f>
        <v>VASS V06 Siemens</v>
      </c>
      <c r="H148" s="544">
        <f>Allg.!I174</f>
        <v>44608</v>
      </c>
      <c r="I148" s="544">
        <f t="shared" si="2"/>
        <v>45704</v>
      </c>
      <c r="J148" s="365" t="str">
        <f>Allg.!J174</f>
        <v>Pass</v>
      </c>
    </row>
    <row r="149" spans="1:10">
      <c r="A149" s="365">
        <v>147</v>
      </c>
      <c r="B149" s="365" t="str">
        <f>Allg.!C175</f>
        <v>Wang, Jianguo</v>
      </c>
      <c r="C149" s="546" t="str">
        <f>Allg.!B175</f>
        <v>王建国</v>
      </c>
      <c r="D149" s="427" t="str">
        <f>Allg.!D175</f>
        <v>310225197511164211</v>
      </c>
      <c r="E149" s="547" t="str">
        <f>Allg.!G175</f>
        <v>Siemens Factory Automation Engineering Ltd.</v>
      </c>
      <c r="F149" s="365" t="str">
        <f>Allg.!F175</f>
        <v>西门子工厂自动化工程有限公司</v>
      </c>
      <c r="G149" s="365" t="str">
        <f>Allg.!H175</f>
        <v>VASS V06 Siemens</v>
      </c>
      <c r="H149" s="544">
        <f>Allg.!I175</f>
        <v>44608</v>
      </c>
      <c r="I149" s="544">
        <f t="shared" si="2"/>
        <v>45704</v>
      </c>
      <c r="J149" s="365" t="str">
        <f>Allg.!J175</f>
        <v>Pass</v>
      </c>
    </row>
    <row r="150" spans="1:10">
      <c r="A150" s="365">
        <v>148</v>
      </c>
      <c r="B150" s="365" t="str">
        <f>Allg.!C176</f>
        <v>Yu, Xianyan</v>
      </c>
      <c r="C150" s="546" t="str">
        <f>Allg.!B176</f>
        <v>余先焰</v>
      </c>
      <c r="D150" s="427" t="str">
        <f>Allg.!D176</f>
        <v>340828198908311410</v>
      </c>
      <c r="E150" s="547" t="str">
        <f>Allg.!G176</f>
        <v>Siemens Factory Automation Engineering Ltd.</v>
      </c>
      <c r="F150" s="365" t="str">
        <f>Allg.!F176</f>
        <v>西门子工厂自动化工程有限公司</v>
      </c>
      <c r="G150" s="365" t="str">
        <f>Allg.!H176</f>
        <v>VASS V06 Siemens</v>
      </c>
      <c r="H150" s="544">
        <f>Allg.!I176</f>
        <v>44608</v>
      </c>
      <c r="I150" s="544">
        <f t="shared" si="2"/>
        <v>45704</v>
      </c>
      <c r="J150" s="365" t="str">
        <f>Allg.!J176</f>
        <v>Failed</v>
      </c>
    </row>
    <row r="151" spans="1:10">
      <c r="A151" s="365">
        <v>149</v>
      </c>
      <c r="B151" s="365" t="str">
        <f>Allg.!C177</f>
        <v>Hu, Yongjin</v>
      </c>
      <c r="C151" s="546" t="str">
        <f>Allg.!B177</f>
        <v>胡永锦</v>
      </c>
      <c r="D151" s="427" t="str">
        <f>Allg.!D177</f>
        <v>352101197807154736</v>
      </c>
      <c r="E151" s="547" t="str">
        <f>Allg.!G177</f>
        <v>Siemens Factory Automation Engineering Ltd.</v>
      </c>
      <c r="F151" s="365" t="str">
        <f>Allg.!F177</f>
        <v>西门子工厂自动化工程有限公司</v>
      </c>
      <c r="G151" s="365" t="str">
        <f>Allg.!H177</f>
        <v>VASS V06 Siemens</v>
      </c>
      <c r="H151" s="544">
        <f>Allg.!I177</f>
        <v>44608</v>
      </c>
      <c r="I151" s="544">
        <f t="shared" si="2"/>
        <v>45704</v>
      </c>
      <c r="J151" s="365" t="str">
        <f>Allg.!J177</f>
        <v>Pass</v>
      </c>
    </row>
    <row r="152" spans="1:10">
      <c r="A152" s="365">
        <v>150</v>
      </c>
      <c r="B152" s="365" t="str">
        <f>Allg.!C178</f>
        <v>Li, Hao</v>
      </c>
      <c r="C152" s="546" t="str">
        <f>Allg.!B178</f>
        <v>李豪</v>
      </c>
      <c r="D152" s="427" t="str">
        <f>Allg.!D178</f>
        <v>370881198512204034</v>
      </c>
      <c r="E152" s="547" t="str">
        <f>Allg.!G178</f>
        <v>Siemens Factory Automation Engineering Ltd.</v>
      </c>
      <c r="F152" s="365" t="str">
        <f>Allg.!F178</f>
        <v>西门子工厂自动化工程有限公司</v>
      </c>
      <c r="G152" s="365" t="str">
        <f>Allg.!H178</f>
        <v>VASS V06 Siemens</v>
      </c>
      <c r="H152" s="544">
        <f>Allg.!I178</f>
        <v>44608</v>
      </c>
      <c r="I152" s="544">
        <f t="shared" si="2"/>
        <v>45704</v>
      </c>
      <c r="J152" s="365" t="str">
        <f>Allg.!J178</f>
        <v>Pass</v>
      </c>
    </row>
    <row r="153" spans="1:10">
      <c r="A153" s="365">
        <v>151</v>
      </c>
      <c r="B153" s="365" t="str">
        <f>Allg.!C179</f>
        <v>Zhu, Wenpan</v>
      </c>
      <c r="C153" s="546" t="str">
        <f>Allg.!B179</f>
        <v>祝文盼</v>
      </c>
      <c r="D153" s="427" t="str">
        <f>Allg.!D179</f>
        <v>350722199307115716</v>
      </c>
      <c r="E153" s="547" t="str">
        <f>Allg.!G179</f>
        <v xml:space="preserve"> Shanghai SunYell Electronic Technology CO.,LTD.</v>
      </c>
      <c r="F153" s="365" t="str">
        <f>Allg.!F179</f>
        <v>上海烁逸电子科技有限公司</v>
      </c>
      <c r="G153" s="365" t="str">
        <f>Allg.!H179</f>
        <v>VASS V06 Siemens</v>
      </c>
      <c r="H153" s="544">
        <f>Allg.!I179</f>
        <v>44609</v>
      </c>
      <c r="I153" s="544">
        <f t="shared" si="2"/>
        <v>45705</v>
      </c>
      <c r="J153" s="365" t="str">
        <f>Allg.!J179</f>
        <v>Failed</v>
      </c>
    </row>
    <row r="154" spans="1:10">
      <c r="A154" s="365">
        <v>152</v>
      </c>
      <c r="B154" s="365" t="str">
        <f>Allg.!C180</f>
        <v>Hu, Weijie</v>
      </c>
      <c r="C154" s="546" t="str">
        <f>Allg.!B180</f>
        <v>胡卫杰</v>
      </c>
      <c r="D154" s="427" t="str">
        <f>Allg.!D180</f>
        <v>130429198410132437</v>
      </c>
      <c r="E154" s="547" t="str">
        <f>Allg.!G180</f>
        <v>Liaoning Frey Stoll Engineering Technology Co.,Ltd</v>
      </c>
      <c r="F154" s="365" t="str">
        <f>Allg.!F180</f>
        <v>辽宁福瑞施道工程技术有限公司</v>
      </c>
      <c r="G154" s="365" t="str">
        <f>Allg.!H180</f>
        <v>VASS V06 Siemens</v>
      </c>
      <c r="H154" s="544">
        <f>Allg.!I180</f>
        <v>44610</v>
      </c>
      <c r="I154" s="544">
        <f t="shared" si="2"/>
        <v>45706</v>
      </c>
      <c r="J154" s="365" t="str">
        <f>Allg.!J180</f>
        <v>Failed</v>
      </c>
    </row>
    <row r="155" spans="1:10">
      <c r="A155" s="365">
        <v>153</v>
      </c>
      <c r="B155" s="365" t="str">
        <f>Allg.!C181</f>
        <v>Jin, Chengshuai</v>
      </c>
      <c r="C155" s="546" t="str">
        <f>Allg.!B181</f>
        <v>金成帅</v>
      </c>
      <c r="D155" s="427" t="str">
        <f>Allg.!D181</f>
        <v>210882199204301015</v>
      </c>
      <c r="E155" s="547" t="str">
        <f>Allg.!G181</f>
        <v>Liaoning Frey Stoll Engineering Technology Co.,Ltd</v>
      </c>
      <c r="F155" s="365" t="str">
        <f>Allg.!F181</f>
        <v>辽宁福瑞施道工程技术有限公司</v>
      </c>
      <c r="G155" s="365" t="str">
        <f>Allg.!H181</f>
        <v>VASS V06 Siemens</v>
      </c>
      <c r="H155" s="544">
        <f>Allg.!I181</f>
        <v>44610</v>
      </c>
      <c r="I155" s="544">
        <f t="shared" si="2"/>
        <v>45706</v>
      </c>
      <c r="J155" s="365" t="str">
        <f>Allg.!J181</f>
        <v>Failed</v>
      </c>
    </row>
    <row r="156" spans="1:10">
      <c r="A156" s="365">
        <v>154</v>
      </c>
      <c r="B156" s="365" t="str">
        <f>Allg.!C182</f>
        <v>Yan, Shaobin</v>
      </c>
      <c r="C156" s="546" t="str">
        <f>Allg.!B182</f>
        <v>严少斌</v>
      </c>
      <c r="D156" s="427" t="str">
        <f>Allg.!D182</f>
        <v>342921198708291112</v>
      </c>
      <c r="E156" s="547" t="str">
        <f>Allg.!G182</f>
        <v xml:space="preserve">Schenck Shanghai Machinery Co., Ltd </v>
      </c>
      <c r="F156" s="365" t="str">
        <f>Allg.!F182</f>
        <v>上海申克机械有限公司</v>
      </c>
      <c r="G156" s="365" t="str">
        <f>Allg.!H182</f>
        <v>VASS V06 Siemens</v>
      </c>
      <c r="H156" s="544">
        <f>Allg.!I182</f>
        <v>44609</v>
      </c>
      <c r="I156" s="544">
        <f t="shared" si="2"/>
        <v>45705</v>
      </c>
      <c r="J156" s="365" t="str">
        <f>Allg.!J182</f>
        <v>Pass</v>
      </c>
    </row>
    <row r="157" spans="1:10">
      <c r="A157" s="365">
        <v>155</v>
      </c>
      <c r="B157" s="365" t="str">
        <f>Allg.!C183</f>
        <v>Zhou, Tao</v>
      </c>
      <c r="C157" s="546" t="str">
        <f>Allg.!B183</f>
        <v>周涛</v>
      </c>
      <c r="D157" s="427" t="str">
        <f>Allg.!D183</f>
        <v>371524198809285231</v>
      </c>
      <c r="E157" s="547" t="str">
        <f>Allg.!G183</f>
        <v>Jinan Kinmark Technology Co., Ltd</v>
      </c>
      <c r="F157" s="365" t="str">
        <f>Allg.!F183</f>
        <v>济南中正金码科技有限公司</v>
      </c>
      <c r="G157" s="365" t="str">
        <f>Allg.!H183</f>
        <v>VASS V06 Siemens</v>
      </c>
      <c r="H157" s="544">
        <f>Allg.!I183</f>
        <v>44608</v>
      </c>
      <c r="I157" s="544">
        <f t="shared" si="2"/>
        <v>45704</v>
      </c>
      <c r="J157" s="365" t="str">
        <f>Allg.!J183</f>
        <v>Pass</v>
      </c>
    </row>
    <row r="158" spans="1:10">
      <c r="A158" s="365">
        <v>156</v>
      </c>
      <c r="B158" s="365" t="str">
        <f>Allg.!C184</f>
        <v>Xu, Peng</v>
      </c>
      <c r="C158" s="546" t="str">
        <f>Allg.!B184</f>
        <v>徐鹏</v>
      </c>
      <c r="D158" s="427" t="str">
        <f>Allg.!D184</f>
        <v>37092119880912005X</v>
      </c>
      <c r="E158" s="547" t="str">
        <f>Allg.!G184</f>
        <v>Jinan Kinmark Technology Co., Ltd</v>
      </c>
      <c r="F158" s="365" t="str">
        <f>Allg.!F184</f>
        <v>济南中正金码科技有限公司</v>
      </c>
      <c r="G158" s="365" t="str">
        <f>Allg.!H184</f>
        <v>VASS V06 Siemens</v>
      </c>
      <c r="H158" s="544">
        <f>Allg.!I184</f>
        <v>44608</v>
      </c>
      <c r="I158" s="544">
        <f t="shared" si="2"/>
        <v>45704</v>
      </c>
      <c r="J158" s="365" t="str">
        <f>Allg.!J184</f>
        <v>Failed</v>
      </c>
    </row>
    <row r="159" spans="1:10">
      <c r="A159" s="365">
        <v>157</v>
      </c>
      <c r="B159" s="365" t="str">
        <f>Allg.!C185</f>
        <v>Jiang, Yuke</v>
      </c>
      <c r="C159" s="546" t="str">
        <f>Allg.!B185</f>
        <v>蒋煜珂</v>
      </c>
      <c r="D159" s="427" t="str">
        <f>Allg.!D185</f>
        <v>220103198302181217</v>
      </c>
      <c r="E159" s="547" t="str">
        <f>Allg.!G185</f>
        <v>AiWei Mechanical and Electrical equipment (Shanghai) Co., Ltd.</v>
      </c>
      <c r="F159" s="365" t="str">
        <f>Allg.!F185</f>
        <v>埃蔚机电设备（上海）有限公司</v>
      </c>
      <c r="G159" s="365" t="str">
        <f>Allg.!H185</f>
        <v>VASS V06 Siemens</v>
      </c>
      <c r="H159" s="544">
        <f>Allg.!I185</f>
        <v>44608</v>
      </c>
      <c r="I159" s="544">
        <f t="shared" si="2"/>
        <v>45704</v>
      </c>
      <c r="J159" s="365" t="str">
        <f>Allg.!J185</f>
        <v>Pass</v>
      </c>
    </row>
    <row r="160" spans="1:10">
      <c r="A160" s="365">
        <v>158</v>
      </c>
      <c r="B160" s="365" t="str">
        <f>Allg.!C186</f>
        <v>Si, Liangliang</v>
      </c>
      <c r="C160" s="546" t="str">
        <f>Allg.!B186</f>
        <v>司亮亮</v>
      </c>
      <c r="D160" s="427" t="str">
        <f>Allg.!D186</f>
        <v>230402199310240519</v>
      </c>
      <c r="E160" s="547" t="str">
        <f>Allg.!G186</f>
        <v>AiWei Mechanical and Electrical equipment (Shanghai) Co., Ltd.</v>
      </c>
      <c r="F160" s="365" t="str">
        <f>Allg.!F186</f>
        <v>埃蔚机电设备（上海）有限公司</v>
      </c>
      <c r="G160" s="365" t="str">
        <f>Allg.!H186</f>
        <v>VASS V06 Siemens</v>
      </c>
      <c r="H160" s="544">
        <f>Allg.!I186</f>
        <v>44608</v>
      </c>
      <c r="I160" s="544">
        <f t="shared" si="2"/>
        <v>45704</v>
      </c>
      <c r="J160" s="365" t="str">
        <f>Allg.!J186</f>
        <v>Failed</v>
      </c>
    </row>
    <row r="161" spans="1:10">
      <c r="A161" s="365">
        <v>159</v>
      </c>
      <c r="B161" s="365" t="str">
        <f>Allg.!C187</f>
        <v>Yang, Xianduo</v>
      </c>
      <c r="C161" s="546" t="str">
        <f>Allg.!B187</f>
        <v>杨先夺</v>
      </c>
      <c r="D161" s="427" t="str">
        <f>Allg.!D187</f>
        <v>220323199509216318</v>
      </c>
      <c r="E161" s="547" t="str">
        <f>Allg.!G187</f>
        <v>Changchun ATN Gluing Equipment Co.,Ltd.</v>
      </c>
      <c r="F161" s="365" t="str">
        <f>Allg.!F187</f>
        <v>长春涵智科技有限公司</v>
      </c>
      <c r="G161" s="365" t="str">
        <f>Allg.!H187</f>
        <v>VASS V06 Siemens</v>
      </c>
      <c r="H161" s="544">
        <f>Allg.!I187</f>
        <v>44608</v>
      </c>
      <c r="I161" s="544">
        <f t="shared" si="2"/>
        <v>45704</v>
      </c>
      <c r="J161" s="365" t="str">
        <f>Allg.!J187</f>
        <v>Pass</v>
      </c>
    </row>
    <row r="162" spans="1:10">
      <c r="A162" s="365">
        <v>160</v>
      </c>
      <c r="B162" s="365" t="str">
        <f>Allg.!C188</f>
        <v>Zhang, Feng</v>
      </c>
      <c r="C162" s="546" t="str">
        <f>Allg.!B188</f>
        <v>张峰</v>
      </c>
      <c r="D162" s="427" t="str">
        <f>Allg.!D188</f>
        <v>220402199402155619</v>
      </c>
      <c r="E162" s="547" t="str">
        <f>Allg.!G188</f>
        <v>Changchun ATN Gluing Equipment Co.,Ltd.</v>
      </c>
      <c r="F162" s="365" t="str">
        <f>Allg.!F188</f>
        <v>长春涵智科技有限公司</v>
      </c>
      <c r="G162" s="365" t="str">
        <f>Allg.!H188</f>
        <v>VASS V06 Siemens</v>
      </c>
      <c r="H162" s="544">
        <f>Allg.!I188</f>
        <v>44608</v>
      </c>
      <c r="I162" s="544">
        <f t="shared" si="2"/>
        <v>45704</v>
      </c>
      <c r="J162" s="365" t="str">
        <f>Allg.!J188</f>
        <v>Failed</v>
      </c>
    </row>
    <row r="163" spans="1:10">
      <c r="A163" s="365">
        <v>161</v>
      </c>
      <c r="B163" s="365" t="str">
        <f>Allg.!C189</f>
        <v>Wang, YuanXin</v>
      </c>
      <c r="C163" s="546" t="str">
        <f>Allg.!B189</f>
        <v>王远新</v>
      </c>
      <c r="D163" s="427" t="str">
        <f>Allg.!D189</f>
        <v>150425198303233011</v>
      </c>
      <c r="E163" s="547" t="str">
        <f>Allg.!G189</f>
        <v>AFT Automation and Conveying Systems (Shanghai) Co.,Ltd.</v>
      </c>
      <c r="F163" s="365" t="str">
        <f>Allg.!F189</f>
        <v>上海埃福梯自动化输送技术有限公司</v>
      </c>
      <c r="G163" s="365" t="str">
        <f>Allg.!H189</f>
        <v>VASS V06 Siemens</v>
      </c>
      <c r="H163" s="544">
        <f>Allg.!I189</f>
        <v>44608</v>
      </c>
      <c r="I163" s="544">
        <f t="shared" si="2"/>
        <v>45704</v>
      </c>
      <c r="J163" s="365" t="str">
        <f>Allg.!J189</f>
        <v>Pass</v>
      </c>
    </row>
    <row r="164" spans="1:10">
      <c r="A164" s="365">
        <v>162</v>
      </c>
      <c r="B164" s="365" t="str">
        <f>Allg.!C190</f>
        <v>Su, Jian</v>
      </c>
      <c r="C164" s="546" t="str">
        <f>Allg.!B190</f>
        <v>苏健</v>
      </c>
      <c r="D164" s="427" t="str">
        <f>Allg.!D190</f>
        <v>511621199505152998</v>
      </c>
      <c r="E164" s="547" t="str">
        <f>Allg.!G190</f>
        <v>AFT Automation and Conveying Systems (Shanghai) Co.,Ltd.</v>
      </c>
      <c r="F164" s="365" t="str">
        <f>Allg.!F190</f>
        <v>上海埃福梯自动化输送技术有限公司</v>
      </c>
      <c r="G164" s="365" t="str">
        <f>Allg.!H190</f>
        <v>VASS V06 Siemens</v>
      </c>
      <c r="H164" s="544">
        <f>Allg.!I190</f>
        <v>44608</v>
      </c>
      <c r="I164" s="544">
        <f t="shared" si="2"/>
        <v>45704</v>
      </c>
      <c r="J164" s="365">
        <f>Allg.!J190</f>
        <v>0</v>
      </c>
    </row>
    <row r="165" spans="1:10">
      <c r="A165" s="365">
        <v>163</v>
      </c>
      <c r="B165" s="365" t="str">
        <f>Allg.!C191</f>
        <v>Wan, Zhen</v>
      </c>
      <c r="C165" s="546" t="str">
        <f>Allg.!B191</f>
        <v>万振</v>
      </c>
      <c r="D165" s="427" t="str">
        <f>Allg.!D191</f>
        <v>412827199508133553</v>
      </c>
      <c r="E165" s="547" t="str">
        <f>Allg.!G191</f>
        <v>AFT Automation and Conveying Systems (Shanghai) Co.,Ltd.</v>
      </c>
      <c r="F165" s="365" t="str">
        <f>Allg.!F191</f>
        <v>上海埃福梯自动化输送技术有限公司</v>
      </c>
      <c r="G165" s="365" t="str">
        <f>Allg.!H191</f>
        <v>VASS V06 Siemens</v>
      </c>
      <c r="H165" s="544">
        <f>Allg.!I191</f>
        <v>44608</v>
      </c>
      <c r="I165" s="544">
        <f t="shared" si="2"/>
        <v>45704</v>
      </c>
      <c r="J165" s="365" t="str">
        <f>Allg.!J191</f>
        <v>Pass</v>
      </c>
    </row>
    <row r="166" spans="1:10">
      <c r="A166" s="365">
        <v>164</v>
      </c>
      <c r="B166" s="365" t="str">
        <f>Allg.!C192</f>
        <v>Yang, Sai</v>
      </c>
      <c r="C166" s="546" t="str">
        <f>Allg.!B192</f>
        <v>杨赛</v>
      </c>
      <c r="D166" s="427" t="str">
        <f>Allg.!D192</f>
        <v>320381199007049414</v>
      </c>
      <c r="E166" s="547" t="str">
        <f>Allg.!G192</f>
        <v>AFT Automation and Conveying Systems (Shanghai) Co.,Ltd.</v>
      </c>
      <c r="F166" s="365" t="str">
        <f>Allg.!F192</f>
        <v>上海埃福梯自动化输送技术有限公司</v>
      </c>
      <c r="G166" s="365" t="str">
        <f>Allg.!H192</f>
        <v>VASS V06 Siemens</v>
      </c>
      <c r="H166" s="544">
        <f>Allg.!I192</f>
        <v>44608</v>
      </c>
      <c r="I166" s="544">
        <f t="shared" si="2"/>
        <v>45704</v>
      </c>
      <c r="J166" s="365" t="str">
        <f>Allg.!J192</f>
        <v>Failed</v>
      </c>
    </row>
    <row r="167" spans="1:10">
      <c r="A167" s="365">
        <v>165</v>
      </c>
      <c r="B167" s="365" t="str">
        <f>Allg.!C193</f>
        <v>Feng, Tianwei</v>
      </c>
      <c r="C167" s="546" t="str">
        <f>Allg.!B193</f>
        <v>冯天玮</v>
      </c>
      <c r="D167" s="427" t="str">
        <f>Allg.!D193</f>
        <v>32108819980928575X</v>
      </c>
      <c r="E167" s="547" t="str">
        <f>Allg.!G193</f>
        <v xml:space="preserve">Miracle Automation Engineering Co.,Ltd </v>
      </c>
      <c r="F167" s="365" t="str">
        <f>Allg.!F193</f>
        <v>天奇自动化工程股份有限公司</v>
      </c>
      <c r="G167" s="365" t="str">
        <f>Allg.!H193</f>
        <v>VASS V06 Siemens</v>
      </c>
      <c r="H167" s="544">
        <f>Allg.!I193</f>
        <v>44608</v>
      </c>
      <c r="I167" s="544">
        <f t="shared" si="2"/>
        <v>45704</v>
      </c>
      <c r="J167" s="365" t="str">
        <f>Allg.!J193</f>
        <v>Failed</v>
      </c>
    </row>
    <row r="168" spans="1:10">
      <c r="A168" s="365">
        <v>166</v>
      </c>
      <c r="B168" s="365" t="str">
        <f>Allg.!C194</f>
        <v>Ge, Yunwei</v>
      </c>
      <c r="C168" s="546" t="str">
        <f>Allg.!B194</f>
        <v>葛运伟</v>
      </c>
      <c r="D168" s="427" t="str">
        <f>Allg.!D194</f>
        <v>371325198908071250</v>
      </c>
      <c r="E168" s="547" t="str">
        <f>Allg.!G194</f>
        <v xml:space="preserve">Miracle Automation Engineering Co.,Ltd </v>
      </c>
      <c r="F168" s="365" t="str">
        <f>Allg.!F194</f>
        <v>天奇自动化工程股份有限公司</v>
      </c>
      <c r="G168" s="365" t="str">
        <f>Allg.!H194</f>
        <v>VASS V06 Siemens</v>
      </c>
      <c r="H168" s="544">
        <f>Allg.!I194</f>
        <v>44608</v>
      </c>
      <c r="I168" s="544">
        <f t="shared" si="2"/>
        <v>45704</v>
      </c>
      <c r="J168" s="365" t="str">
        <f>Allg.!J194</f>
        <v>Failed</v>
      </c>
    </row>
    <row r="169" spans="1:10">
      <c r="A169" s="365">
        <v>167</v>
      </c>
      <c r="B169" s="365" t="str">
        <f>Allg.!C195</f>
        <v>Zhang, Jiawei</v>
      </c>
      <c r="C169" s="546" t="str">
        <f>Allg.!B195</f>
        <v>张嘉伟</v>
      </c>
      <c r="D169" s="427" t="str">
        <f>Allg.!D195</f>
        <v>320282199108122570</v>
      </c>
      <c r="E169" s="547" t="str">
        <f>Allg.!G195</f>
        <v xml:space="preserve">Miracle Automation Engineering Co.,Ltd </v>
      </c>
      <c r="F169" s="365" t="str">
        <f>Allg.!F195</f>
        <v>天奇自动化工程股份有限公司</v>
      </c>
      <c r="G169" s="365" t="str">
        <f>Allg.!H195</f>
        <v>VASS V06 Siemens</v>
      </c>
      <c r="H169" s="544">
        <f>Allg.!I195</f>
        <v>44608</v>
      </c>
      <c r="I169" s="544">
        <f t="shared" si="2"/>
        <v>45704</v>
      </c>
      <c r="J169" s="365" t="str">
        <f>Allg.!J195</f>
        <v>Failed</v>
      </c>
    </row>
    <row r="170" spans="1:10">
      <c r="A170" s="365">
        <v>168</v>
      </c>
      <c r="B170" s="365" t="str">
        <f>Allg.!C196</f>
        <v>Fen, Xing</v>
      </c>
      <c r="C170" s="546" t="str">
        <f>Allg.!B196</f>
        <v>冯鑫</v>
      </c>
      <c r="D170" s="427" t="str">
        <f>Allg.!D196</f>
        <v>32022219800114391X</v>
      </c>
      <c r="E170" s="547" t="str">
        <f>Allg.!G196</f>
        <v xml:space="preserve">Miracle Automation Engineering Co.,Ltd </v>
      </c>
      <c r="F170" s="365" t="str">
        <f>Allg.!F196</f>
        <v>天奇自动化工程股份有限公司</v>
      </c>
      <c r="G170" s="365" t="str">
        <f>Allg.!H196</f>
        <v>VASS V06 Siemens</v>
      </c>
      <c r="H170" s="544">
        <f>Allg.!I196</f>
        <v>44608</v>
      </c>
      <c r="I170" s="544">
        <f t="shared" si="2"/>
        <v>45704</v>
      </c>
      <c r="J170" s="365" t="str">
        <f>Allg.!J196</f>
        <v>Failed</v>
      </c>
    </row>
    <row r="171" spans="1:10">
      <c r="A171" s="365">
        <v>169</v>
      </c>
      <c r="B171" s="365" t="str">
        <f>Allg.!C197</f>
        <v>Wang, Zhaoyang</v>
      </c>
      <c r="C171" s="546" t="str">
        <f>Allg.!B197</f>
        <v>王兆阳</v>
      </c>
      <c r="D171" s="427" t="str">
        <f>Allg.!D197</f>
        <v>321323199509282117</v>
      </c>
      <c r="E171" s="547" t="str">
        <f>Allg.!G197</f>
        <v xml:space="preserve">Miracle Automation Engineering Co.,Ltd </v>
      </c>
      <c r="F171" s="365" t="str">
        <f>Allg.!F197</f>
        <v>天奇自动化工程股份有限公司</v>
      </c>
      <c r="G171" s="365" t="str">
        <f>Allg.!H197</f>
        <v>VASS V06 Siemens</v>
      </c>
      <c r="H171" s="544">
        <f>Allg.!I197</f>
        <v>44608</v>
      </c>
      <c r="I171" s="544">
        <f t="shared" ref="I171:I206" si="3">DATE(YEAR(H171)+3,MONTH(H171),DAY(H171))</f>
        <v>45704</v>
      </c>
      <c r="J171" s="365" t="str">
        <f>Allg.!J197</f>
        <v>Failed</v>
      </c>
    </row>
    <row r="172" spans="1:10">
      <c r="A172" s="365">
        <v>170</v>
      </c>
      <c r="B172" s="365" t="str">
        <f>Allg.!C198</f>
        <v>Feng, Chao</v>
      </c>
      <c r="C172" s="546" t="str">
        <f>Allg.!B198</f>
        <v>冯超</v>
      </c>
      <c r="D172" s="427" t="str">
        <f>Allg.!D198</f>
        <v>421102199103041218</v>
      </c>
      <c r="E172" s="547" t="str">
        <f>Allg.!G198</f>
        <v>Wuhan Dongyan Wisdom Design Institute Co., Ltd.</v>
      </c>
      <c r="F172" s="365" t="str">
        <f>Allg.!F198</f>
        <v>武汉东研智慧设计研究院有限公司</v>
      </c>
      <c r="G172" s="365" t="str">
        <f>Allg.!H198</f>
        <v>VASS V06 Siemens</v>
      </c>
      <c r="H172" s="544">
        <f>Allg.!I198</f>
        <v>44609</v>
      </c>
      <c r="I172" s="544">
        <f t="shared" si="3"/>
        <v>45705</v>
      </c>
      <c r="J172" s="365" t="str">
        <f>Allg.!J198</f>
        <v>Failed</v>
      </c>
    </row>
    <row r="173" spans="1:10">
      <c r="A173" s="365">
        <v>171</v>
      </c>
      <c r="B173" s="365" t="str">
        <f>Allg.!C199</f>
        <v>Xu, Jinming</v>
      </c>
      <c r="C173" s="546" t="str">
        <f>Allg.!B199</f>
        <v>许进敏</v>
      </c>
      <c r="D173" s="427" t="str">
        <f>Allg.!D199</f>
        <v>420222198808162912</v>
      </c>
      <c r="E173" s="547" t="str">
        <f>Allg.!G199</f>
        <v>Wuhan Dongyan Wisdom Design Institute Co., Ltd.</v>
      </c>
      <c r="F173" s="365" t="str">
        <f>Allg.!F199</f>
        <v>武汉东研智慧设计研究院有限公司</v>
      </c>
      <c r="G173" s="365" t="str">
        <f>Allg.!H199</f>
        <v>VASS V06 Siemens</v>
      </c>
      <c r="H173" s="544">
        <f>Allg.!I199</f>
        <v>44609</v>
      </c>
      <c r="I173" s="544">
        <f t="shared" si="3"/>
        <v>45705</v>
      </c>
      <c r="J173" s="365" t="str">
        <f>Allg.!J199</f>
        <v>Failed</v>
      </c>
    </row>
    <row r="174" spans="1:10">
      <c r="A174" s="365">
        <v>172</v>
      </c>
      <c r="B174" s="365" t="str">
        <f>Allg.!C200</f>
        <v>Pan, Xiangxi</v>
      </c>
      <c r="C174" s="546" t="str">
        <f>Allg.!B200</f>
        <v>潘祥喜</v>
      </c>
      <c r="D174" s="427" t="str">
        <f>Allg.!D200</f>
        <v>420703199309152413</v>
      </c>
      <c r="E174" s="547" t="str">
        <f>Allg.!G200</f>
        <v>Wuhan Dongyan Wisdom Design Institute Co., Ltd.</v>
      </c>
      <c r="F174" s="365" t="str">
        <f>Allg.!F200</f>
        <v>武汉东研智慧设计研究院有限公司</v>
      </c>
      <c r="G174" s="365" t="str">
        <f>Allg.!H200</f>
        <v>VASS V06 Siemens</v>
      </c>
      <c r="H174" s="544">
        <f>Allg.!I200</f>
        <v>44609</v>
      </c>
      <c r="I174" s="544">
        <f t="shared" si="3"/>
        <v>45705</v>
      </c>
      <c r="J174" s="365" t="str">
        <f>Allg.!J200</f>
        <v>Pass</v>
      </c>
    </row>
    <row r="175" spans="1:10">
      <c r="A175" s="365">
        <v>173</v>
      </c>
      <c r="B175" s="365" t="str">
        <f>Allg.!C201</f>
        <v>Zhang, Yiwen</v>
      </c>
      <c r="C175" s="546" t="str">
        <f>Allg.!B201</f>
        <v>张逸文</v>
      </c>
      <c r="D175" s="427" t="str">
        <f>Allg.!D201</f>
        <v>420101199605017018</v>
      </c>
      <c r="E175" s="547" t="str">
        <f>Allg.!G201</f>
        <v>Wuhan Dongyan Wisdom Design Institute Co., Ltd.</v>
      </c>
      <c r="F175" s="365" t="str">
        <f>Allg.!F201</f>
        <v>武汉东研智慧设计研究院有限公司</v>
      </c>
      <c r="G175" s="365" t="str">
        <f>Allg.!H201</f>
        <v>VASS V06 Siemens</v>
      </c>
      <c r="H175" s="544">
        <f>Allg.!I201</f>
        <v>44609</v>
      </c>
      <c r="I175" s="544">
        <f t="shared" si="3"/>
        <v>45705</v>
      </c>
      <c r="J175" s="365" t="str">
        <f>Allg.!J201</f>
        <v>Pass</v>
      </c>
    </row>
    <row r="176" spans="1:10">
      <c r="A176" s="365">
        <v>174</v>
      </c>
      <c r="B176" s="365" t="str">
        <f>Allg.!C202</f>
        <v>Wu, Qing</v>
      </c>
      <c r="C176" s="546" t="str">
        <f>Allg.!B202</f>
        <v>吴青</v>
      </c>
      <c r="D176" s="427" t="str">
        <f>Allg.!D202</f>
        <v>420303198508022017</v>
      </c>
      <c r="E176" s="547" t="str">
        <f>Allg.!G202</f>
        <v>Wuhan Dongyan Wisdom Design Institute Co., Ltd.</v>
      </c>
      <c r="F176" s="365" t="str">
        <f>Allg.!F202</f>
        <v>武汉东研智慧设计研究院有限公司</v>
      </c>
      <c r="G176" s="365" t="str">
        <f>Allg.!H202</f>
        <v>VASS V06 Siemens</v>
      </c>
      <c r="H176" s="544">
        <f>Allg.!I202</f>
        <v>44609</v>
      </c>
      <c r="I176" s="544">
        <f t="shared" si="3"/>
        <v>45705</v>
      </c>
      <c r="J176" s="365" t="str">
        <f>Allg.!J202</f>
        <v>Failed</v>
      </c>
    </row>
    <row r="177" spans="1:10">
      <c r="A177" s="365">
        <v>175</v>
      </c>
      <c r="B177" s="365" t="str">
        <f>Allg.!C203</f>
        <v>Lu, Jie</v>
      </c>
      <c r="C177" s="546" t="str">
        <f>Allg.!B203</f>
        <v>鲁杰</v>
      </c>
      <c r="D177" s="427" t="str">
        <f>Allg.!D203</f>
        <v>140221199106100013</v>
      </c>
      <c r="E177" s="547" t="str">
        <f>Allg.!G203</f>
        <v>Wuhan Dongyan Wisdom Design Institute Co., Ltd.</v>
      </c>
      <c r="F177" s="365" t="str">
        <f>Allg.!F203</f>
        <v>武汉东研智慧设计研究院有限公司</v>
      </c>
      <c r="G177" s="365" t="str">
        <f>Allg.!H203</f>
        <v>VASS V06 Siemens</v>
      </c>
      <c r="H177" s="544">
        <f>Allg.!I203</f>
        <v>44609</v>
      </c>
      <c r="I177" s="544">
        <f t="shared" si="3"/>
        <v>45705</v>
      </c>
      <c r="J177" s="365" t="str">
        <f>Allg.!J203</f>
        <v>Pass</v>
      </c>
    </row>
    <row r="178" spans="1:10">
      <c r="A178" s="365">
        <v>176</v>
      </c>
      <c r="B178" s="365" t="str">
        <f>Allg.!C204</f>
        <v>Li, Zhongxin</v>
      </c>
      <c r="C178" s="546" t="str">
        <f>Allg.!B204</f>
        <v>李钟心</v>
      </c>
      <c r="D178" s="427" t="str">
        <f>Allg.!D204</f>
        <v>42011419940425123X</v>
      </c>
      <c r="E178" s="547" t="str">
        <f>Allg.!G204</f>
        <v>Wuhan Dongyan Wisdom Design Institute Co., Ltd.</v>
      </c>
      <c r="F178" s="365" t="str">
        <f>Allg.!F204</f>
        <v>武汉东研智慧设计研究院有限公司</v>
      </c>
      <c r="G178" s="365" t="str">
        <f>Allg.!H204</f>
        <v>VASS V06 Siemens</v>
      </c>
      <c r="H178" s="544">
        <f>Allg.!I204</f>
        <v>44609</v>
      </c>
      <c r="I178" s="544">
        <f t="shared" si="3"/>
        <v>45705</v>
      </c>
      <c r="J178" s="365" t="str">
        <f>Allg.!J204</f>
        <v>Failed</v>
      </c>
    </row>
    <row r="179" spans="1:10">
      <c r="A179" s="365">
        <v>177</v>
      </c>
      <c r="B179" s="365" t="str">
        <f>Allg.!C205</f>
        <v>Yang, Xin</v>
      </c>
      <c r="C179" s="546" t="str">
        <f>Allg.!B205</f>
        <v>杨辛</v>
      </c>
      <c r="D179" s="427" t="str">
        <f>Allg.!D205</f>
        <v>42108319870203005X</v>
      </c>
      <c r="E179" s="547" t="str">
        <f>Allg.!G205</f>
        <v>Wuhan Dongyan Wisdom Design Institute Co., Ltd.</v>
      </c>
      <c r="F179" s="365" t="str">
        <f>Allg.!F205</f>
        <v>武汉东研智慧设计研究院有限公司</v>
      </c>
      <c r="G179" s="365" t="str">
        <f>Allg.!H205</f>
        <v>VASS V06 Siemens</v>
      </c>
      <c r="H179" s="544">
        <f>Allg.!I205</f>
        <v>44609</v>
      </c>
      <c r="I179" s="544">
        <f t="shared" si="3"/>
        <v>45705</v>
      </c>
      <c r="J179" s="365" t="str">
        <f>Allg.!J205</f>
        <v>Failed</v>
      </c>
    </row>
    <row r="180" spans="1:10">
      <c r="A180" s="365">
        <v>178</v>
      </c>
      <c r="B180" s="365" t="str">
        <f>Allg.!C206</f>
        <v>Xu, Kai</v>
      </c>
      <c r="C180" s="546" t="str">
        <f>Allg.!B206</f>
        <v>徐凯</v>
      </c>
      <c r="D180" s="427" t="str">
        <f>Allg.!D206</f>
        <v>310106198906212871</v>
      </c>
      <c r="E180" s="547" t="str">
        <f>Allg.!G206</f>
        <v xml:space="preserve">Schenck Shanghai Machinery Co., Ltd </v>
      </c>
      <c r="F180" s="365" t="str">
        <f>Allg.!F206</f>
        <v>上海申克机械有限公司</v>
      </c>
      <c r="G180" s="365" t="str">
        <f>Allg.!H206</f>
        <v>VASS V06 Siemens</v>
      </c>
      <c r="H180" s="544">
        <f>Allg.!I206</f>
        <v>44609</v>
      </c>
      <c r="I180" s="544">
        <f t="shared" si="3"/>
        <v>45705</v>
      </c>
      <c r="J180" s="365">
        <f>Allg.!J206</f>
        <v>0</v>
      </c>
    </row>
    <row r="181" spans="1:10">
      <c r="A181" s="365">
        <v>179</v>
      </c>
      <c r="B181" s="365" t="str">
        <f>Allg.!C207</f>
        <v>Nie, Zhengguo</v>
      </c>
      <c r="C181" s="546" t="str">
        <f>Allg.!B207</f>
        <v>聂正国</v>
      </c>
      <c r="D181" s="427" t="str">
        <f>Allg.!D207</f>
        <v>340822198209196232</v>
      </c>
      <c r="E181" s="547" t="str">
        <f>Allg.!G207</f>
        <v xml:space="preserve">Schenck Shanghai Machinery Co., Ltd </v>
      </c>
      <c r="F181" s="365" t="str">
        <f>Allg.!F207</f>
        <v>上海申克机械有限公司</v>
      </c>
      <c r="G181" s="365" t="str">
        <f>Allg.!H207</f>
        <v>VASS V06 Siemens</v>
      </c>
      <c r="H181" s="544">
        <f>Allg.!I207</f>
        <v>44609</v>
      </c>
      <c r="I181" s="544">
        <f t="shared" si="3"/>
        <v>45705</v>
      </c>
      <c r="J181" s="365" t="str">
        <f>Allg.!J207</f>
        <v>Failed</v>
      </c>
    </row>
    <row r="182" spans="1:10">
      <c r="A182" s="365">
        <v>180</v>
      </c>
      <c r="B182" s="365" t="str">
        <f>Allg.!C208</f>
        <v>Qiu, Yi</v>
      </c>
      <c r="C182" s="546" t="str">
        <f>Allg.!B208</f>
        <v>邱义</v>
      </c>
      <c r="D182" s="427" t="str">
        <f>Allg.!D208</f>
        <v>511324198206162713</v>
      </c>
      <c r="E182" s="547" t="str">
        <f>Allg.!G208</f>
        <v xml:space="preserve">Schenck Shanghai Machinery Co., Ltd </v>
      </c>
      <c r="F182" s="365" t="str">
        <f>Allg.!F208</f>
        <v>上海申克机械有限公司</v>
      </c>
      <c r="G182" s="365" t="str">
        <f>Allg.!H208</f>
        <v>VASS V06 Siemens</v>
      </c>
      <c r="H182" s="544">
        <f>Allg.!I208</f>
        <v>44609</v>
      </c>
      <c r="I182" s="544">
        <f t="shared" si="3"/>
        <v>45705</v>
      </c>
      <c r="J182" s="365" t="str">
        <f>Allg.!J208</f>
        <v>Failed</v>
      </c>
    </row>
    <row r="183" spans="1:10">
      <c r="A183" s="365">
        <v>181</v>
      </c>
      <c r="B183" s="365" t="str">
        <f>Allg.!C209</f>
        <v>Zhu, Weihua</v>
      </c>
      <c r="C183" s="546" t="str">
        <f>Allg.!B209</f>
        <v>朱伟华</v>
      </c>
      <c r="D183" s="427" t="str">
        <f>Allg.!D209</f>
        <v>320681198712095012</v>
      </c>
      <c r="E183" s="547" t="str">
        <f>Allg.!G209</f>
        <v xml:space="preserve">Schenck Shanghai Machinery Co., Ltd </v>
      </c>
      <c r="F183" s="365" t="str">
        <f>Allg.!F209</f>
        <v>上海申克机械有限公司</v>
      </c>
      <c r="G183" s="365" t="str">
        <f>Allg.!H209</f>
        <v>VASS V06 Siemens</v>
      </c>
      <c r="H183" s="544">
        <f>Allg.!I209</f>
        <v>44609</v>
      </c>
      <c r="I183" s="544">
        <f t="shared" si="3"/>
        <v>45705</v>
      </c>
      <c r="J183" s="365" t="str">
        <f>Allg.!J209</f>
        <v>Failed</v>
      </c>
    </row>
    <row r="184" spans="1:10">
      <c r="A184" s="365">
        <v>182</v>
      </c>
      <c r="B184" s="365" t="str">
        <f>Allg.!C210</f>
        <v>Fu, Chaorong</v>
      </c>
      <c r="C184" s="546" t="str">
        <f>Allg.!B210</f>
        <v>符超嵘</v>
      </c>
      <c r="D184" s="427" t="str">
        <f>Allg.!D210</f>
        <v>310107198202113417</v>
      </c>
      <c r="E184" s="547" t="str">
        <f>Allg.!G210</f>
        <v xml:space="preserve">Schenck Shanghai Machinery Co., Ltd </v>
      </c>
      <c r="F184" s="365" t="str">
        <f>Allg.!F210</f>
        <v>上海申克机械有限公司</v>
      </c>
      <c r="G184" s="365" t="str">
        <f>Allg.!H210</f>
        <v>VASS V06 Siemens</v>
      </c>
      <c r="H184" s="544">
        <f>Allg.!I210</f>
        <v>44609</v>
      </c>
      <c r="I184" s="544">
        <f t="shared" si="3"/>
        <v>45705</v>
      </c>
      <c r="J184" s="365" t="str">
        <f>Allg.!J210</f>
        <v>Failed</v>
      </c>
    </row>
    <row r="185" spans="1:10">
      <c r="A185" s="365">
        <v>183</v>
      </c>
      <c r="B185" s="365" t="str">
        <f>Allg.!C211</f>
        <v>Hu, Jian</v>
      </c>
      <c r="C185" s="546" t="str">
        <f>Allg.!B211</f>
        <v>胡健</v>
      </c>
      <c r="D185" s="427" t="str">
        <f>Allg.!D211</f>
        <v>320586198601073917</v>
      </c>
      <c r="E185" s="547" t="str">
        <f>Allg.!G211</f>
        <v xml:space="preserve">Schenck Shanghai Machinery Co., Ltd </v>
      </c>
      <c r="F185" s="365" t="str">
        <f>Allg.!F211</f>
        <v>上海申克机械有限公司</v>
      </c>
      <c r="G185" s="365" t="str">
        <f>Allg.!H211</f>
        <v>VASS V06 Siemens</v>
      </c>
      <c r="H185" s="544">
        <f>Allg.!I211</f>
        <v>44609</v>
      </c>
      <c r="I185" s="544">
        <f t="shared" si="3"/>
        <v>45705</v>
      </c>
      <c r="J185" s="365" t="str">
        <f>Allg.!J211</f>
        <v>Pass</v>
      </c>
    </row>
    <row r="186" spans="1:10">
      <c r="A186" s="365">
        <v>184</v>
      </c>
      <c r="B186" s="365" t="str">
        <f>Allg.!C212</f>
        <v>Gu, Zhibin</v>
      </c>
      <c r="C186" s="546" t="str">
        <f>Allg.!B212</f>
        <v>顾志彬</v>
      </c>
      <c r="D186" s="427" t="str">
        <f>Allg.!D212</f>
        <v>320682199206242199</v>
      </c>
      <c r="E186" s="547" t="str">
        <f>Allg.!G212</f>
        <v>MWT International Trading (Shanghai) Co., Ltd.</v>
      </c>
      <c r="F186" s="365" t="str">
        <f>Allg.!F212</f>
        <v>埃姆达国际贸易(上海)有限公司</v>
      </c>
      <c r="G186" s="365" t="str">
        <f>Allg.!H212</f>
        <v>VASS V06 Siemens</v>
      </c>
      <c r="H186" s="544">
        <f>Allg.!I212</f>
        <v>44609</v>
      </c>
      <c r="I186" s="544">
        <f t="shared" si="3"/>
        <v>45705</v>
      </c>
      <c r="J186" s="365">
        <f>Allg.!J212</f>
        <v>0</v>
      </c>
    </row>
    <row r="187" spans="1:10">
      <c r="A187" s="365">
        <v>185</v>
      </c>
      <c r="B187" s="365" t="str">
        <f>Allg.!C213</f>
        <v>Guo, Wenhao</v>
      </c>
      <c r="C187" s="546" t="str">
        <f>Allg.!B213</f>
        <v>郭文豪</v>
      </c>
      <c r="D187" s="427" t="str">
        <f>Allg.!D213</f>
        <v>610430198709210516</v>
      </c>
      <c r="E187" s="547" t="str">
        <f>Allg.!G213</f>
        <v>MWT International Trading (Shanghai) Co., Ltd.</v>
      </c>
      <c r="F187" s="365" t="str">
        <f>Allg.!F213</f>
        <v>埃姆达国际贸易(上海)有限公司</v>
      </c>
      <c r="G187" s="365" t="str">
        <f>Allg.!H213</f>
        <v>VASS V06 Siemens</v>
      </c>
      <c r="H187" s="544">
        <f>Allg.!I213</f>
        <v>44609</v>
      </c>
      <c r="I187" s="544">
        <f t="shared" si="3"/>
        <v>45705</v>
      </c>
      <c r="J187" s="365">
        <f>Allg.!J213</f>
        <v>0</v>
      </c>
    </row>
    <row r="188" spans="1:10">
      <c r="A188" s="365">
        <v>186</v>
      </c>
      <c r="B188" s="365" t="str">
        <f>Allg.!C214</f>
        <v>Huang, Weiwei</v>
      </c>
      <c r="C188" s="546" t="str">
        <f>Allg.!B214</f>
        <v>黄巍巍</v>
      </c>
      <c r="D188" s="427" t="str">
        <f>Allg.!D214</f>
        <v>320923198710083010</v>
      </c>
      <c r="E188" s="547" t="str">
        <f>Allg.!G214</f>
        <v>MWT International Trading (Shanghai) Co., Ltd.</v>
      </c>
      <c r="F188" s="365" t="str">
        <f>Allg.!F214</f>
        <v>埃姆达国际贸易(上海)有限公司</v>
      </c>
      <c r="G188" s="365" t="str">
        <f>Allg.!H214</f>
        <v>VASS V06 Siemens</v>
      </c>
      <c r="H188" s="544">
        <f>Allg.!I214</f>
        <v>44609</v>
      </c>
      <c r="I188" s="544">
        <f t="shared" si="3"/>
        <v>45705</v>
      </c>
      <c r="J188" s="365">
        <f>Allg.!J214</f>
        <v>0</v>
      </c>
    </row>
    <row r="189" spans="1:10">
      <c r="A189" s="365">
        <v>187</v>
      </c>
      <c r="B189" s="365" t="str">
        <f>Allg.!C215</f>
        <v>Nian, Haidong</v>
      </c>
      <c r="C189" s="546" t="str">
        <f>Allg.!B215</f>
        <v>年海东</v>
      </c>
      <c r="D189" s="427" t="str">
        <f>Allg.!D215</f>
        <v>232330199602013619</v>
      </c>
      <c r="E189" s="547" t="str">
        <f>Allg.!G215</f>
        <v>AUTOBOX Technology (SHANGHAI) CO., LTD</v>
      </c>
      <c r="F189" s="365" t="str">
        <f>Allg.!F215</f>
        <v>上海奥特博格汽车工程有限公司</v>
      </c>
      <c r="G189" s="365" t="str">
        <f>Allg.!H215</f>
        <v>VASS V06 Siemens</v>
      </c>
      <c r="H189" s="544">
        <f>Allg.!I215</f>
        <v>44609</v>
      </c>
      <c r="I189" s="544">
        <f t="shared" si="3"/>
        <v>45705</v>
      </c>
      <c r="J189" s="365" t="str">
        <f>Allg.!J215</f>
        <v>Pass</v>
      </c>
    </row>
    <row r="190" spans="1:10">
      <c r="A190" s="365">
        <v>188</v>
      </c>
      <c r="B190" s="365" t="str">
        <f>Allg.!C216</f>
        <v>Shen, Rifo</v>
      </c>
      <c r="C190" s="546" t="str">
        <f>Allg.!B216</f>
        <v>沈日佛</v>
      </c>
      <c r="D190" s="427" t="str">
        <f>Allg.!D216</f>
        <v>140622199008240838</v>
      </c>
      <c r="E190" s="547" t="str">
        <f>Allg.!G216</f>
        <v>Shanghai JYS Automation Co.,Ltd</v>
      </c>
      <c r="F190" s="365" t="str">
        <f>Allg.!F216</f>
        <v>上海九源晟自动化有限公司</v>
      </c>
      <c r="G190" s="365" t="str">
        <f>Allg.!H216</f>
        <v>VASS V06 Siemens</v>
      </c>
      <c r="H190" s="544">
        <f>Allg.!I216</f>
        <v>44609</v>
      </c>
      <c r="I190" s="544">
        <f t="shared" si="3"/>
        <v>45705</v>
      </c>
      <c r="J190" s="365">
        <f>Allg.!J216</f>
        <v>0</v>
      </c>
    </row>
    <row r="191" spans="1:10">
      <c r="A191" s="365">
        <v>189</v>
      </c>
      <c r="B191" s="365" t="str">
        <f>Allg.!C217</f>
        <v>Jia, Hongle</v>
      </c>
      <c r="C191" s="546" t="str">
        <f>Allg.!B217</f>
        <v>贾洪乐</v>
      </c>
      <c r="D191" s="427" t="str">
        <f>Allg.!D217</f>
        <v>22042119971026391X</v>
      </c>
      <c r="E191" s="547" t="str">
        <f>Allg.!G217</f>
        <v>Shanghai JYS Automation Co.,Ltd</v>
      </c>
      <c r="F191" s="365" t="str">
        <f>Allg.!F217</f>
        <v>上海九源晟自动化有限公司</v>
      </c>
      <c r="G191" s="365" t="str">
        <f>Allg.!H217</f>
        <v>VASS V06 Siemens</v>
      </c>
      <c r="H191" s="544">
        <f>Allg.!I217</f>
        <v>44609</v>
      </c>
      <c r="I191" s="544">
        <f t="shared" si="3"/>
        <v>45705</v>
      </c>
      <c r="J191" s="365" t="str">
        <f>Allg.!J217</f>
        <v>Pass</v>
      </c>
    </row>
    <row r="192" spans="1:10">
      <c r="A192" s="365">
        <v>190</v>
      </c>
      <c r="B192" s="365" t="str">
        <f>Allg.!C218</f>
        <v>Zhao, Rui</v>
      </c>
      <c r="C192" s="546" t="str">
        <f>Allg.!B218</f>
        <v>赵瑞</v>
      </c>
      <c r="D192" s="427" t="str">
        <f>Allg.!D218</f>
        <v>370126200012094219</v>
      </c>
      <c r="E192" s="547" t="str">
        <f>Allg.!G218</f>
        <v>Shanghai JYS Automation Co.,Ltd</v>
      </c>
      <c r="F192" s="365" t="str">
        <f>Allg.!F218</f>
        <v>上海九源晟自动化有限公司</v>
      </c>
      <c r="G192" s="365" t="str">
        <f>Allg.!H218</f>
        <v>VASS V06 Siemens</v>
      </c>
      <c r="H192" s="544">
        <f>Allg.!I218</f>
        <v>44609</v>
      </c>
      <c r="I192" s="544">
        <f t="shared" si="3"/>
        <v>45705</v>
      </c>
      <c r="J192" s="365" t="str">
        <f>Allg.!J218</f>
        <v>Failed</v>
      </c>
    </row>
    <row r="193" spans="1:10">
      <c r="A193" s="365">
        <v>191</v>
      </c>
      <c r="B193" s="365" t="str">
        <f>Allg.!C219</f>
        <v>Xu, Jiawei</v>
      </c>
      <c r="C193" s="546" t="str">
        <f>Allg.!B219</f>
        <v>徐佳伟</v>
      </c>
      <c r="D193" s="427" t="str">
        <f>Allg.!D219</f>
        <v>230904199904100310</v>
      </c>
      <c r="E193" s="547" t="str">
        <f>Allg.!G219</f>
        <v>Shanghai JYS Automation Co.,Ltd</v>
      </c>
      <c r="F193" s="365" t="str">
        <f>Allg.!F219</f>
        <v>上海九源晟自动化有限公司</v>
      </c>
      <c r="G193" s="365" t="str">
        <f>Allg.!H219</f>
        <v>VASS V06 Siemens</v>
      </c>
      <c r="H193" s="544">
        <f>Allg.!I219</f>
        <v>44609</v>
      </c>
      <c r="I193" s="544">
        <f t="shared" si="3"/>
        <v>45705</v>
      </c>
      <c r="J193" s="365" t="str">
        <f>Allg.!J219</f>
        <v>Failed</v>
      </c>
    </row>
    <row r="194" spans="1:10">
      <c r="A194" s="365">
        <v>192</v>
      </c>
      <c r="B194" s="365" t="str">
        <f>Allg.!C220</f>
        <v>Yin, Zhongchao</v>
      </c>
      <c r="C194" s="546" t="str">
        <f>Allg.!B220</f>
        <v>尹忠超</v>
      </c>
      <c r="D194" s="427" t="str">
        <f>Allg.!D220</f>
        <v>220182199802193118</v>
      </c>
      <c r="E194" s="547" t="str">
        <f>Allg.!G220</f>
        <v>Shanghai JYS Automation Co.,Ltd</v>
      </c>
      <c r="F194" s="365" t="str">
        <f>Allg.!F220</f>
        <v>上海九源晟自动化有限公司</v>
      </c>
      <c r="G194" s="365" t="str">
        <f>Allg.!H220</f>
        <v>VASS V06 Siemens</v>
      </c>
      <c r="H194" s="544">
        <f>Allg.!I220</f>
        <v>44609</v>
      </c>
      <c r="I194" s="544">
        <f t="shared" si="3"/>
        <v>45705</v>
      </c>
      <c r="J194" s="365" t="str">
        <f>Allg.!J220</f>
        <v>Pass</v>
      </c>
    </row>
    <row r="195" spans="1:10">
      <c r="A195" s="365">
        <v>193</v>
      </c>
      <c r="B195" s="365" t="str">
        <f>Allg.!C221</f>
        <v>Yang, Yang</v>
      </c>
      <c r="C195" s="546" t="str">
        <f>Allg.!B221</f>
        <v>杨扬</v>
      </c>
      <c r="D195" s="427" t="str">
        <f>Allg.!D221</f>
        <v>370284198302150054</v>
      </c>
      <c r="E195" s="547" t="str">
        <f>Allg.!G221</f>
        <v>Blumenbecker (Shanghai)engineering Co., Ltd</v>
      </c>
      <c r="F195" s="365" t="str">
        <f>Allg.!F221</f>
        <v>不莱梅贝克（上海）工业自动化技术有限公司</v>
      </c>
      <c r="G195" s="365" t="str">
        <f>Allg.!H221</f>
        <v>VASS V06 Siemens</v>
      </c>
      <c r="H195" s="544">
        <f>Allg.!I221</f>
        <v>44609</v>
      </c>
      <c r="I195" s="544">
        <f t="shared" si="3"/>
        <v>45705</v>
      </c>
      <c r="J195" s="365" t="str">
        <f>Allg.!J221</f>
        <v>Pass</v>
      </c>
    </row>
    <row r="196" spans="1:10">
      <c r="A196" s="365">
        <v>194</v>
      </c>
      <c r="B196" s="365" t="str">
        <f>Allg.!C222</f>
        <v>Hua, Peng</v>
      </c>
      <c r="C196" s="546" t="str">
        <f>Allg.!B222</f>
        <v>华朋</v>
      </c>
      <c r="D196" s="427" t="str">
        <f>Allg.!D222</f>
        <v>37040319890514561X</v>
      </c>
      <c r="E196" s="547" t="str">
        <f>Allg.!G222</f>
        <v>Blumenbecker (Shanghai)engineering Co., Ltd</v>
      </c>
      <c r="F196" s="365" t="str">
        <f>Allg.!F222</f>
        <v>不莱梅贝克（上海）工业自动化技术有限公司</v>
      </c>
      <c r="G196" s="365" t="str">
        <f>Allg.!H222</f>
        <v>VASS V06 Siemens</v>
      </c>
      <c r="H196" s="544">
        <f>Allg.!I222</f>
        <v>44609</v>
      </c>
      <c r="I196" s="544">
        <f t="shared" si="3"/>
        <v>45705</v>
      </c>
      <c r="J196" s="365" t="str">
        <f>Allg.!J222</f>
        <v>Pass</v>
      </c>
    </row>
    <row r="197" spans="1:10">
      <c r="A197" s="365">
        <v>195</v>
      </c>
      <c r="B197" s="365" t="str">
        <f>Allg.!C223</f>
        <v>Ren, Jiuya</v>
      </c>
      <c r="C197" s="546" t="str">
        <f>Allg.!B223</f>
        <v>任九亚</v>
      </c>
      <c r="D197" s="427" t="str">
        <f>Allg.!D223</f>
        <v>32132219921209045X</v>
      </c>
      <c r="E197" s="547" t="str">
        <f>Allg.!G223</f>
        <v>Blumenbecker (Shanghai)engineering Co., Ltd</v>
      </c>
      <c r="F197" s="365" t="str">
        <f>Allg.!F223</f>
        <v>不莱梅贝克（上海）工业自动化技术有限公司</v>
      </c>
      <c r="G197" s="365" t="str">
        <f>Allg.!H223</f>
        <v>VASS V06 Siemens</v>
      </c>
      <c r="H197" s="544">
        <f>Allg.!I223</f>
        <v>44609</v>
      </c>
      <c r="I197" s="544">
        <f t="shared" si="3"/>
        <v>45705</v>
      </c>
      <c r="J197" s="365">
        <f>Allg.!J223</f>
        <v>0</v>
      </c>
    </row>
    <row r="198" spans="1:10">
      <c r="A198" s="365">
        <v>196</v>
      </c>
      <c r="B198" s="365" t="str">
        <f>Allg.!C224</f>
        <v>Zhang, Zhongfei</v>
      </c>
      <c r="C198" s="546" t="str">
        <f>Allg.!B224</f>
        <v>张中飞</v>
      </c>
      <c r="D198" s="427" t="str">
        <f>Allg.!D224</f>
        <v>371327199005135118</v>
      </c>
      <c r="E198" s="547" t="str">
        <f>Allg.!G224</f>
        <v>Blumenbecker (Shanghai)engineering Co., Ltd</v>
      </c>
      <c r="F198" s="365" t="str">
        <f>Allg.!F224</f>
        <v>不莱梅贝克（上海）工业自动化技术有限公司</v>
      </c>
      <c r="G198" s="365" t="str">
        <f>Allg.!H224</f>
        <v>VASS V06 Siemens</v>
      </c>
      <c r="H198" s="544">
        <f>Allg.!I224</f>
        <v>44609</v>
      </c>
      <c r="I198" s="544">
        <f t="shared" si="3"/>
        <v>45705</v>
      </c>
      <c r="J198" s="365" t="str">
        <f>Allg.!J224</f>
        <v>Failed</v>
      </c>
    </row>
    <row r="199" spans="1:10">
      <c r="A199" s="365">
        <v>197</v>
      </c>
      <c r="B199" s="365" t="str">
        <f>Allg.!C225</f>
        <v>Chen, Shuai</v>
      </c>
      <c r="C199" s="546" t="str">
        <f>Allg.!B225</f>
        <v>陈帅</v>
      </c>
      <c r="D199" s="427" t="str">
        <f>Allg.!D225</f>
        <v>320323199008226837</v>
      </c>
      <c r="E199" s="547" t="str">
        <f>Allg.!G225</f>
        <v>Shanghai Sinylon Auto Equipment Manufacture Co., Ltd</v>
      </c>
      <c r="F199" s="365" t="str">
        <f>Allg.!F225</f>
        <v>上海鑫燕隆汽车装备制造有限公司</v>
      </c>
      <c r="G199" s="365" t="str">
        <f>Allg.!H225</f>
        <v>VASS V06 Siemens</v>
      </c>
      <c r="H199" s="544">
        <f>Allg.!I225</f>
        <v>44610</v>
      </c>
      <c r="I199" s="544">
        <f t="shared" si="3"/>
        <v>45706</v>
      </c>
      <c r="J199" s="365" t="str">
        <f>Allg.!J225</f>
        <v>Failed</v>
      </c>
    </row>
    <row r="200" spans="1:10">
      <c r="A200" s="365">
        <v>198</v>
      </c>
      <c r="B200" s="365" t="str">
        <f>Allg.!C226</f>
        <v>Han, Weiwei</v>
      </c>
      <c r="C200" s="546" t="str">
        <f>Allg.!B226</f>
        <v>韩巍巍</v>
      </c>
      <c r="D200" s="427" t="str">
        <f>Allg.!D226</f>
        <v>342127198312014332</v>
      </c>
      <c r="E200" s="547" t="str">
        <f>Allg.!G226</f>
        <v>Shanghai Sinylon Auto Equipment Manufacture Co., Ltd</v>
      </c>
      <c r="F200" s="365" t="str">
        <f>Allg.!F226</f>
        <v>上海鑫燕隆汽车装备制造有限公司</v>
      </c>
      <c r="G200" s="365" t="str">
        <f>Allg.!H226</f>
        <v>VASS V06 Siemens</v>
      </c>
      <c r="H200" s="544">
        <f>Allg.!I226</f>
        <v>44610</v>
      </c>
      <c r="I200" s="544">
        <f t="shared" si="3"/>
        <v>45706</v>
      </c>
      <c r="J200" s="365" t="str">
        <f>Allg.!J226</f>
        <v>Pass</v>
      </c>
    </row>
    <row r="201" spans="1:10">
      <c r="A201" s="365">
        <v>199</v>
      </c>
      <c r="B201" s="365" t="str">
        <f>Allg.!C227</f>
        <v>Ma, Yuhang</v>
      </c>
      <c r="C201" s="546" t="str">
        <f>Allg.!B227</f>
        <v>马宇航</v>
      </c>
      <c r="D201" s="427" t="str">
        <f>Allg.!D227</f>
        <v>410181199003270518</v>
      </c>
      <c r="E201" s="547" t="str">
        <f>Allg.!G227</f>
        <v>B&amp;A AUTOMATION SYSTEMS CO.,LTD</v>
      </c>
      <c r="F201" s="365" t="str">
        <f>Allg.!F227</f>
        <v>上海勃傲自动化系统技术有限公司</v>
      </c>
      <c r="G201" s="365" t="str">
        <f>Allg.!H227</f>
        <v>VASS V06 Siemens</v>
      </c>
      <c r="H201" s="544">
        <f>Allg.!I227</f>
        <v>44610</v>
      </c>
      <c r="I201" s="544">
        <f t="shared" si="3"/>
        <v>45706</v>
      </c>
      <c r="J201" s="365" t="str">
        <f>Allg.!J227</f>
        <v>Pass</v>
      </c>
    </row>
    <row r="202" spans="1:10">
      <c r="A202" s="365">
        <v>200</v>
      </c>
      <c r="B202" s="365" t="str">
        <f>Allg.!C228</f>
        <v>Liu, Quan</v>
      </c>
      <c r="C202" s="546" t="str">
        <f>Allg.!B228</f>
        <v>刘权</v>
      </c>
      <c r="D202" s="427" t="str">
        <f>Allg.!D228</f>
        <v>412326199112292415</v>
      </c>
      <c r="E202" s="547" t="str">
        <f>Allg.!G228</f>
        <v>B&amp;A AUTOMATION SYSTEMS CO.,LTD</v>
      </c>
      <c r="F202" s="365" t="str">
        <f>Allg.!F228</f>
        <v>上海勃傲自动化系统技术有限公司</v>
      </c>
      <c r="G202" s="365" t="str">
        <f>Allg.!H228</f>
        <v>VASS V06 Siemens</v>
      </c>
      <c r="H202" s="544">
        <f>Allg.!I228</f>
        <v>44610</v>
      </c>
      <c r="I202" s="544">
        <f t="shared" si="3"/>
        <v>45706</v>
      </c>
      <c r="J202" s="365" t="str">
        <f>Allg.!J228</f>
        <v>Pass</v>
      </c>
    </row>
    <row r="203" spans="1:10">
      <c r="A203" s="365">
        <v>201</v>
      </c>
      <c r="B203" s="365" t="str">
        <f>Allg.!C229</f>
        <v>Li, Gang</v>
      </c>
      <c r="C203" s="546" t="str">
        <f>Allg.!B229</f>
        <v>李刚</v>
      </c>
      <c r="D203" s="427" t="str">
        <f>Allg.!D229</f>
        <v>342423199012015574</v>
      </c>
      <c r="E203" s="547" t="str">
        <f>Allg.!G229</f>
        <v>B&amp;A AUTOMATION SYSTEMS CO.,LTD</v>
      </c>
      <c r="F203" s="365" t="str">
        <f>Allg.!F229</f>
        <v>上海勃傲自动化系统技术有限公司</v>
      </c>
      <c r="G203" s="365" t="str">
        <f>Allg.!H229</f>
        <v>VASS V06 Siemens</v>
      </c>
      <c r="H203" s="544">
        <f>Allg.!I229</f>
        <v>44610</v>
      </c>
      <c r="I203" s="544">
        <f t="shared" si="3"/>
        <v>45706</v>
      </c>
      <c r="J203" s="365" t="str">
        <f>Allg.!J229</f>
        <v>Pass</v>
      </c>
    </row>
    <row r="204" spans="1:10">
      <c r="A204" s="365">
        <v>202</v>
      </c>
      <c r="B204" s="365" t="str">
        <f>Allg.!C230</f>
        <v>Jiang, Jiahao</v>
      </c>
      <c r="C204" s="546" t="str">
        <f>Allg.!B230</f>
        <v>蒋家豪</v>
      </c>
      <c r="D204" s="427" t="str">
        <f>Allg.!D230</f>
        <v>341226199510100891</v>
      </c>
      <c r="E204" s="547" t="str">
        <f>Allg.!G230</f>
        <v>B&amp;A AUTOMATION SYSTEMS CO.,LTD</v>
      </c>
      <c r="F204" s="365" t="str">
        <f>Allg.!F230</f>
        <v>上海勃傲自动化系统技术有限公司</v>
      </c>
      <c r="G204" s="365" t="str">
        <f>Allg.!H230</f>
        <v>VASS V06 Siemens</v>
      </c>
      <c r="H204" s="544">
        <f>Allg.!I230</f>
        <v>44610</v>
      </c>
      <c r="I204" s="544">
        <f t="shared" si="3"/>
        <v>45706</v>
      </c>
      <c r="J204" s="365" t="str">
        <f>Allg.!J230</f>
        <v>Pass</v>
      </c>
    </row>
    <row r="205" spans="1:10">
      <c r="A205" s="365">
        <v>203</v>
      </c>
      <c r="B205" s="365" t="str">
        <f>Allg.!C231</f>
        <v>Cui, Moran</v>
      </c>
      <c r="C205" s="546" t="str">
        <f>Allg.!B231</f>
        <v>崔默然</v>
      </c>
      <c r="D205" s="427" t="str">
        <f>Allg.!D231</f>
        <v>340323199601053336</v>
      </c>
      <c r="E205" s="547" t="str">
        <f>Allg.!G231</f>
        <v>B&amp;A AUTOMATION SYSTEMS CO.,LTD</v>
      </c>
      <c r="F205" s="365" t="str">
        <f>Allg.!F231</f>
        <v>上海勃傲自动化系统技术有限公司</v>
      </c>
      <c r="G205" s="365" t="str">
        <f>Allg.!H231</f>
        <v>VASS V06 Siemens</v>
      </c>
      <c r="H205" s="544">
        <f>Allg.!I231</f>
        <v>44610</v>
      </c>
      <c r="I205" s="544">
        <f t="shared" si="3"/>
        <v>45706</v>
      </c>
      <c r="J205" s="365" t="str">
        <f>Allg.!J231</f>
        <v>Pass</v>
      </c>
    </row>
    <row r="206" spans="1:10">
      <c r="A206" s="365">
        <v>204</v>
      </c>
      <c r="B206" s="365" t="str">
        <f>Allg.!C232</f>
        <v>Chen, Yuxuan</v>
      </c>
      <c r="C206" s="546" t="str">
        <f>Allg.!B232</f>
        <v>陈宇轩</v>
      </c>
      <c r="D206" s="427" t="str">
        <f>Allg.!D232</f>
        <v>342923199811114015</v>
      </c>
      <c r="E206" s="547" t="str">
        <f>Allg.!G232</f>
        <v>B&amp;A AUTOMATION SYSTEMS CO.,LTD</v>
      </c>
      <c r="F206" s="365" t="str">
        <f>Allg.!F232</f>
        <v>上海勃傲自动化系统技术有限公司</v>
      </c>
      <c r="G206" s="365" t="str">
        <f>Allg.!H232</f>
        <v>VASS V06 Siemens</v>
      </c>
      <c r="H206" s="544">
        <f>Allg.!I232</f>
        <v>44610</v>
      </c>
      <c r="I206" s="544">
        <f t="shared" si="3"/>
        <v>45706</v>
      </c>
      <c r="J206" s="365" t="str">
        <f>Allg.!J232</f>
        <v>Pass</v>
      </c>
    </row>
    <row r="207" spans="1:10">
      <c r="A207" s="365">
        <v>205</v>
      </c>
      <c r="B207" s="181"/>
      <c r="D207" s="181"/>
      <c r="E207" s="181"/>
      <c r="F207" s="181"/>
      <c r="G207" s="181"/>
      <c r="H207" s="181"/>
      <c r="I207" s="181"/>
      <c r="J207" s="181"/>
    </row>
    <row r="208" spans="1:10">
      <c r="A208" s="365">
        <v>206</v>
      </c>
      <c r="B208" s="181"/>
      <c r="D208" s="181"/>
      <c r="E208" s="181"/>
      <c r="F208" s="181"/>
      <c r="G208" s="181"/>
      <c r="H208" s="181"/>
      <c r="I208" s="181"/>
      <c r="J208" s="181"/>
    </row>
    <row r="209" spans="1:4">
      <c r="A209" s="365">
        <v>207</v>
      </c>
      <c r="B209" s="181"/>
      <c r="D209" s="181" t="s">
        <v>3879</v>
      </c>
    </row>
    <row r="210" spans="1:4">
      <c r="A210" s="365">
        <v>208</v>
      </c>
      <c r="B210" s="181"/>
      <c r="D210" s="181"/>
    </row>
    <row r="211" spans="1:4">
      <c r="A211" s="365">
        <v>209</v>
      </c>
      <c r="B211" s="181"/>
      <c r="D211" s="181"/>
    </row>
    <row r="212" spans="1:4">
      <c r="A212" s="365">
        <v>210</v>
      </c>
      <c r="B212" s="181"/>
      <c r="D212" s="181"/>
    </row>
    <row r="1048576" spans="6:6">
      <c r="F1048576" s="181">
        <f>SUM(F1:F1048575)</f>
        <v>0</v>
      </c>
    </row>
  </sheetData>
  <autoFilter ref="A2:K107" xr:uid="{00000000-0009-0000-0000-000004000000}">
    <sortState xmlns:xlrd2="http://schemas.microsoft.com/office/spreadsheetml/2017/richdata2" ref="A60:K106">
      <sortCondition ref="K60"/>
    </sortState>
  </autoFilter>
  <phoneticPr fontId="69" type="noConversion"/>
  <pageMargins left="0.7" right="0.7" top="0.75" bottom="0.75" header="0.3" footer="0.3"/>
  <pageSetup orientation="portrait" horizontalDpi="1200" verticalDpi="1200" r:id="rId1"/>
  <headerFooter>
    <oddHeader>&amp;L&amp;"Calibri"&amp;10&amp;K000000 INTERNAL&amp;1#_x000D_</oddHead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0</xdr:colOff>
                <xdr:row>0</xdr:row>
                <xdr:rowOff>31750</xdr:rowOff>
              </from>
              <to>
                <xdr:col>2</xdr:col>
                <xdr:colOff>463550</xdr:colOff>
                <xdr:row>0</xdr:row>
                <xdr:rowOff>495300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pageSetUpPr fitToPage="1"/>
  </sheetPr>
  <dimension ref="A1:L100"/>
  <sheetViews>
    <sheetView topLeftCell="A21" zoomScale="70" zoomScaleNormal="70" workbookViewId="0">
      <selection activeCell="L5" sqref="L5"/>
    </sheetView>
  </sheetViews>
  <sheetFormatPr defaultRowHeight="14.5"/>
  <cols>
    <col min="2" max="2" width="18.1796875" style="115" customWidth="1"/>
    <col min="3" max="3" width="21.1796875" style="115" customWidth="1"/>
    <col min="4" max="4" width="27.453125" style="124" customWidth="1"/>
    <col min="5" max="5" width="33" customWidth="1"/>
    <col min="6" max="6" width="11.453125" style="116" customWidth="1"/>
    <col min="7" max="7" width="12.453125" customWidth="1"/>
    <col min="8" max="8" width="10.1796875" customWidth="1"/>
    <col min="9" max="9" width="9.453125" customWidth="1"/>
    <col min="10" max="10" width="8" customWidth="1"/>
    <col min="11" max="11" width="10.81640625" customWidth="1"/>
    <col min="12" max="12" width="17.453125" customWidth="1"/>
    <col min="13" max="13" width="13.1796875" customWidth="1"/>
  </cols>
  <sheetData>
    <row r="1" spans="1:12">
      <c r="A1" s="365"/>
      <c r="B1" s="364" t="s">
        <v>3880</v>
      </c>
      <c r="C1" s="364" t="s">
        <v>3881</v>
      </c>
      <c r="D1" s="548" t="s">
        <v>3882</v>
      </c>
      <c r="E1" s="364" t="s">
        <v>3883</v>
      </c>
      <c r="F1" s="364" t="s">
        <v>3884</v>
      </c>
      <c r="G1" s="364" t="s">
        <v>3885</v>
      </c>
      <c r="H1" s="364" t="s">
        <v>3886</v>
      </c>
      <c r="I1" s="364" t="s">
        <v>3887</v>
      </c>
      <c r="J1" s="364" t="s">
        <v>3888</v>
      </c>
      <c r="K1" s="364" t="s">
        <v>3889</v>
      </c>
      <c r="L1" s="128" t="s">
        <v>3890</v>
      </c>
    </row>
    <row r="2" spans="1:12">
      <c r="A2" s="365">
        <v>1</v>
      </c>
      <c r="B2" s="364" t="s">
        <v>802</v>
      </c>
      <c r="C2" s="504" t="s">
        <v>3786</v>
      </c>
      <c r="D2" s="549" t="s">
        <v>3891</v>
      </c>
      <c r="E2" s="365" t="s">
        <v>805</v>
      </c>
      <c r="F2" s="550">
        <v>44607</v>
      </c>
      <c r="G2" s="365" t="s">
        <v>3787</v>
      </c>
      <c r="H2" s="551" t="s">
        <v>3765</v>
      </c>
      <c r="I2" s="552">
        <v>0.8</v>
      </c>
      <c r="J2" s="553">
        <v>0.5</v>
      </c>
      <c r="K2" s="552">
        <v>0.83</v>
      </c>
      <c r="L2" s="114"/>
    </row>
    <row r="3" spans="1:12">
      <c r="A3" s="365">
        <v>2</v>
      </c>
      <c r="B3" s="364" t="s">
        <v>808</v>
      </c>
      <c r="C3" s="504" t="s">
        <v>3788</v>
      </c>
      <c r="D3" s="549" t="s">
        <v>810</v>
      </c>
      <c r="E3" s="365" t="s">
        <v>805</v>
      </c>
      <c r="F3" s="550">
        <v>44607</v>
      </c>
      <c r="G3" s="365" t="s">
        <v>3787</v>
      </c>
      <c r="H3" s="551" t="s">
        <v>3765</v>
      </c>
      <c r="I3" s="552">
        <v>0.67</v>
      </c>
      <c r="J3" s="553">
        <v>0.56999999999999995</v>
      </c>
      <c r="K3" s="552">
        <v>0.73</v>
      </c>
      <c r="L3" s="114"/>
    </row>
    <row r="4" spans="1:12">
      <c r="A4" s="365">
        <v>3</v>
      </c>
      <c r="B4" s="364" t="s">
        <v>812</v>
      </c>
      <c r="C4" s="504" t="s">
        <v>3789</v>
      </c>
      <c r="D4" s="549" t="s">
        <v>3892</v>
      </c>
      <c r="E4" s="365" t="s">
        <v>805</v>
      </c>
      <c r="F4" s="550">
        <v>44607</v>
      </c>
      <c r="G4" s="365" t="s">
        <v>3787</v>
      </c>
      <c r="H4" s="551" t="s">
        <v>3765</v>
      </c>
      <c r="I4" s="552">
        <v>0.47</v>
      </c>
      <c r="J4" s="553">
        <v>0.47</v>
      </c>
      <c r="K4" s="552">
        <v>0.43</v>
      </c>
      <c r="L4" s="114"/>
    </row>
    <row r="5" spans="1:12">
      <c r="A5" s="365">
        <v>4</v>
      </c>
      <c r="B5" s="364" t="s">
        <v>638</v>
      </c>
      <c r="C5" s="504" t="s">
        <v>3791</v>
      </c>
      <c r="D5" s="549" t="s">
        <v>640</v>
      </c>
      <c r="E5" s="365" t="s">
        <v>641</v>
      </c>
      <c r="F5" s="550">
        <v>44607</v>
      </c>
      <c r="G5" s="365" t="s">
        <v>3787</v>
      </c>
      <c r="H5" s="554" t="s">
        <v>3768</v>
      </c>
      <c r="I5" s="554"/>
      <c r="J5" s="555"/>
      <c r="K5" s="556"/>
      <c r="L5" s="114" t="s">
        <v>3893</v>
      </c>
    </row>
    <row r="6" spans="1:12">
      <c r="A6" s="365">
        <v>5</v>
      </c>
      <c r="B6" s="364" t="s">
        <v>644</v>
      </c>
      <c r="C6" s="557" t="s">
        <v>3792</v>
      </c>
      <c r="D6" s="558" t="s">
        <v>646</v>
      </c>
      <c r="E6" s="522" t="s">
        <v>648</v>
      </c>
      <c r="F6" s="550">
        <v>44607</v>
      </c>
      <c r="G6" s="365" t="s">
        <v>3787</v>
      </c>
      <c r="H6" s="551" t="s">
        <v>3765</v>
      </c>
      <c r="I6" s="552">
        <v>0.8</v>
      </c>
      <c r="J6" s="559">
        <v>0.67</v>
      </c>
      <c r="K6" s="560" t="s">
        <v>3894</v>
      </c>
      <c r="L6" s="114"/>
    </row>
    <row r="7" spans="1:12">
      <c r="A7" s="365">
        <v>6</v>
      </c>
      <c r="B7" s="364" t="s">
        <v>651</v>
      </c>
      <c r="C7" s="557" t="s">
        <v>3793</v>
      </c>
      <c r="D7" s="558" t="s">
        <v>653</v>
      </c>
      <c r="E7" s="522" t="s">
        <v>648</v>
      </c>
      <c r="F7" s="550">
        <v>44607</v>
      </c>
      <c r="G7" s="365" t="s">
        <v>3787</v>
      </c>
      <c r="H7" s="551" t="s">
        <v>3765</v>
      </c>
      <c r="I7" s="552">
        <v>0.73</v>
      </c>
      <c r="J7" s="559">
        <v>0.63</v>
      </c>
      <c r="K7" s="560" t="s">
        <v>3895</v>
      </c>
      <c r="L7" s="114"/>
    </row>
    <row r="8" spans="1:12">
      <c r="A8" s="365">
        <v>7</v>
      </c>
      <c r="B8" s="364" t="s">
        <v>656</v>
      </c>
      <c r="C8" s="557" t="s">
        <v>3794</v>
      </c>
      <c r="D8" s="558" t="s">
        <v>658</v>
      </c>
      <c r="E8" s="522" t="s">
        <v>648</v>
      </c>
      <c r="F8" s="550">
        <v>44607</v>
      </c>
      <c r="G8" s="365" t="s">
        <v>3787</v>
      </c>
      <c r="H8" s="551" t="s">
        <v>3765</v>
      </c>
      <c r="I8" s="552">
        <v>0.67</v>
      </c>
      <c r="J8" s="559">
        <v>0.6</v>
      </c>
      <c r="K8" s="560" t="s">
        <v>3894</v>
      </c>
      <c r="L8" s="114"/>
    </row>
    <row r="9" spans="1:12">
      <c r="A9" s="365">
        <v>8</v>
      </c>
      <c r="B9" s="364" t="s">
        <v>661</v>
      </c>
      <c r="C9" s="557" t="s">
        <v>3795</v>
      </c>
      <c r="D9" s="558" t="s">
        <v>663</v>
      </c>
      <c r="E9" s="522" t="s">
        <v>648</v>
      </c>
      <c r="F9" s="550">
        <v>44607</v>
      </c>
      <c r="G9" s="365" t="s">
        <v>3787</v>
      </c>
      <c r="H9" s="551" t="s">
        <v>3765</v>
      </c>
      <c r="I9" s="552">
        <v>0.67</v>
      </c>
      <c r="J9" s="559">
        <v>0.53</v>
      </c>
      <c r="K9" s="560" t="s">
        <v>3896</v>
      </c>
      <c r="L9" s="114"/>
    </row>
    <row r="10" spans="1:12">
      <c r="A10" s="365">
        <v>9</v>
      </c>
      <c r="B10" s="364" t="s">
        <v>666</v>
      </c>
      <c r="C10" s="557" t="s">
        <v>2373</v>
      </c>
      <c r="D10" s="558" t="s">
        <v>668</v>
      </c>
      <c r="E10" s="522" t="s">
        <v>648</v>
      </c>
      <c r="F10" s="550">
        <v>44607</v>
      </c>
      <c r="G10" s="365" t="s">
        <v>3787</v>
      </c>
      <c r="H10" s="551" t="s">
        <v>3765</v>
      </c>
      <c r="I10" s="552">
        <v>0.56999999999999995</v>
      </c>
      <c r="J10" s="559">
        <v>0.56999999999999995</v>
      </c>
      <c r="K10" s="560" t="s">
        <v>3897</v>
      </c>
      <c r="L10" s="114"/>
    </row>
    <row r="11" spans="1:12">
      <c r="A11" s="365">
        <v>10</v>
      </c>
      <c r="B11" s="364" t="s">
        <v>671</v>
      </c>
      <c r="C11" s="557" t="s">
        <v>3796</v>
      </c>
      <c r="D11" s="558" t="s">
        <v>673</v>
      </c>
      <c r="E11" s="522" t="s">
        <v>648</v>
      </c>
      <c r="F11" s="550">
        <v>44607</v>
      </c>
      <c r="G11" s="365" t="s">
        <v>3787</v>
      </c>
      <c r="H11" s="551" t="s">
        <v>3765</v>
      </c>
      <c r="I11" s="552">
        <v>0.7</v>
      </c>
      <c r="J11" s="559">
        <v>0.6</v>
      </c>
      <c r="K11" s="560" t="s">
        <v>3896</v>
      </c>
      <c r="L11" s="114"/>
    </row>
    <row r="12" spans="1:12">
      <c r="A12" s="365">
        <v>11</v>
      </c>
      <c r="B12" s="364" t="s">
        <v>675</v>
      </c>
      <c r="C12" s="557" t="s">
        <v>1290</v>
      </c>
      <c r="D12" s="558" t="s">
        <v>677</v>
      </c>
      <c r="E12" s="522" t="s">
        <v>648</v>
      </c>
      <c r="F12" s="550">
        <v>44607</v>
      </c>
      <c r="G12" s="365" t="s">
        <v>3787</v>
      </c>
      <c r="H12" s="551" t="s">
        <v>3765</v>
      </c>
      <c r="I12" s="552">
        <v>0.7</v>
      </c>
      <c r="J12" s="559">
        <v>0.5</v>
      </c>
      <c r="K12" s="560" t="s">
        <v>3898</v>
      </c>
      <c r="L12" s="114"/>
    </row>
    <row r="13" spans="1:12">
      <c r="A13" s="365">
        <v>12</v>
      </c>
      <c r="B13" s="364" t="s">
        <v>679</v>
      </c>
      <c r="C13" s="557" t="s">
        <v>1291</v>
      </c>
      <c r="D13" s="558" t="s">
        <v>681</v>
      </c>
      <c r="E13" s="522" t="s">
        <v>648</v>
      </c>
      <c r="F13" s="550">
        <v>44607</v>
      </c>
      <c r="G13" s="365" t="s">
        <v>3787</v>
      </c>
      <c r="H13" s="551" t="s">
        <v>3765</v>
      </c>
      <c r="I13" s="552">
        <v>0.63</v>
      </c>
      <c r="J13" s="559">
        <v>0.5</v>
      </c>
      <c r="K13" s="560" t="s">
        <v>3899</v>
      </c>
      <c r="L13" s="114"/>
    </row>
    <row r="14" spans="1:12">
      <c r="A14" s="365">
        <v>13</v>
      </c>
      <c r="B14" s="364" t="s">
        <v>684</v>
      </c>
      <c r="C14" s="557" t="s">
        <v>3797</v>
      </c>
      <c r="D14" s="558" t="s">
        <v>686</v>
      </c>
      <c r="E14" s="522" t="s">
        <v>648</v>
      </c>
      <c r="F14" s="550">
        <v>44607</v>
      </c>
      <c r="G14" s="365" t="s">
        <v>3787</v>
      </c>
      <c r="H14" s="551" t="s">
        <v>3765</v>
      </c>
      <c r="I14" s="552">
        <v>0.67</v>
      </c>
      <c r="J14" s="559">
        <v>0.67</v>
      </c>
      <c r="K14" s="560" t="s">
        <v>3895</v>
      </c>
      <c r="L14" s="114"/>
    </row>
    <row r="15" spans="1:12">
      <c r="A15" s="365">
        <v>14</v>
      </c>
      <c r="B15" s="364" t="s">
        <v>689</v>
      </c>
      <c r="C15" s="557" t="s">
        <v>2377</v>
      </c>
      <c r="D15" s="558" t="s">
        <v>691</v>
      </c>
      <c r="E15" s="522" t="s">
        <v>648</v>
      </c>
      <c r="F15" s="550">
        <v>44607</v>
      </c>
      <c r="G15" s="365" t="s">
        <v>3787</v>
      </c>
      <c r="H15" s="551" t="s">
        <v>3765</v>
      </c>
      <c r="I15" s="552">
        <v>0.5</v>
      </c>
      <c r="J15" s="559">
        <v>0.47</v>
      </c>
      <c r="K15" s="560" t="s">
        <v>3898</v>
      </c>
      <c r="L15" s="114"/>
    </row>
    <row r="16" spans="1:12">
      <c r="A16" s="365">
        <v>15</v>
      </c>
      <c r="B16" s="364" t="s">
        <v>693</v>
      </c>
      <c r="C16" s="561" t="s">
        <v>3798</v>
      </c>
      <c r="D16" s="562" t="s">
        <v>695</v>
      </c>
      <c r="E16" s="524" t="s">
        <v>696</v>
      </c>
      <c r="F16" s="550">
        <v>44607</v>
      </c>
      <c r="G16" s="365" t="s">
        <v>3787</v>
      </c>
      <c r="H16" s="554" t="s">
        <v>3768</v>
      </c>
      <c r="I16" s="554"/>
      <c r="J16" s="555"/>
      <c r="K16" s="556"/>
      <c r="L16" s="114" t="s">
        <v>3900</v>
      </c>
    </row>
    <row r="17" spans="1:12">
      <c r="A17" s="365">
        <v>1</v>
      </c>
      <c r="B17" s="364" t="s">
        <v>699</v>
      </c>
      <c r="C17" s="561" t="s">
        <v>3799</v>
      </c>
      <c r="D17" s="562" t="s">
        <v>701</v>
      </c>
      <c r="E17" s="524" t="s">
        <v>696</v>
      </c>
      <c r="F17" s="550">
        <v>44607</v>
      </c>
      <c r="G17" s="365" t="s">
        <v>3800</v>
      </c>
      <c r="H17" s="554" t="s">
        <v>3768</v>
      </c>
      <c r="I17" s="554"/>
      <c r="J17" s="555"/>
      <c r="K17" s="556"/>
      <c r="L17" s="114" t="s">
        <v>3900</v>
      </c>
    </row>
    <row r="18" spans="1:12">
      <c r="A18" s="365">
        <v>2</v>
      </c>
      <c r="B18" s="364" t="s">
        <v>703</v>
      </c>
      <c r="C18" s="561" t="s">
        <v>3801</v>
      </c>
      <c r="D18" s="562" t="s">
        <v>705</v>
      </c>
      <c r="E18" s="524" t="s">
        <v>696</v>
      </c>
      <c r="F18" s="550">
        <v>44607</v>
      </c>
      <c r="G18" s="365" t="s">
        <v>3800</v>
      </c>
      <c r="H18" s="551" t="s">
        <v>3765</v>
      </c>
      <c r="I18" s="552">
        <v>0.8</v>
      </c>
      <c r="J18" s="559">
        <v>0.6</v>
      </c>
      <c r="K18" s="560" t="s">
        <v>3901</v>
      </c>
      <c r="L18" s="114"/>
    </row>
    <row r="19" spans="1:12">
      <c r="A19" s="365">
        <v>3</v>
      </c>
      <c r="B19" s="364" t="s">
        <v>707</v>
      </c>
      <c r="C19" s="561" t="s">
        <v>3802</v>
      </c>
      <c r="D19" s="562" t="s">
        <v>709</v>
      </c>
      <c r="E19" s="524" t="s">
        <v>696</v>
      </c>
      <c r="F19" s="550">
        <v>44607</v>
      </c>
      <c r="G19" s="365" t="s">
        <v>3800</v>
      </c>
      <c r="H19" s="554" t="s">
        <v>3768</v>
      </c>
      <c r="I19" s="554"/>
      <c r="J19" s="555"/>
      <c r="K19" s="556"/>
      <c r="L19" s="114" t="s">
        <v>3900</v>
      </c>
    </row>
    <row r="20" spans="1:12">
      <c r="A20" s="365">
        <v>4</v>
      </c>
      <c r="B20" s="364" t="s">
        <v>711</v>
      </c>
      <c r="C20" s="561" t="s">
        <v>1298</v>
      </c>
      <c r="D20" s="562" t="s">
        <v>713</v>
      </c>
      <c r="E20" s="524" t="s">
        <v>696</v>
      </c>
      <c r="F20" s="550">
        <v>44607</v>
      </c>
      <c r="G20" s="365" t="s">
        <v>3800</v>
      </c>
      <c r="H20" s="551" t="s">
        <v>3765</v>
      </c>
      <c r="I20" s="552">
        <v>0.3</v>
      </c>
      <c r="J20" s="559">
        <v>0.17</v>
      </c>
      <c r="K20" s="560" t="s">
        <v>3897</v>
      </c>
      <c r="L20" s="114"/>
    </row>
    <row r="21" spans="1:12">
      <c r="A21" s="365">
        <v>5</v>
      </c>
      <c r="B21" s="364" t="s">
        <v>715</v>
      </c>
      <c r="C21" s="561" t="s">
        <v>3803</v>
      </c>
      <c r="D21" s="562" t="s">
        <v>717</v>
      </c>
      <c r="E21" s="524" t="s">
        <v>696</v>
      </c>
      <c r="F21" s="550">
        <v>44607</v>
      </c>
      <c r="G21" s="365" t="s">
        <v>3800</v>
      </c>
      <c r="H21" s="554" t="s">
        <v>3768</v>
      </c>
      <c r="I21" s="554"/>
      <c r="J21" s="555"/>
      <c r="K21" s="556"/>
      <c r="L21" s="114" t="s">
        <v>3900</v>
      </c>
    </row>
    <row r="22" spans="1:12">
      <c r="A22" s="365">
        <v>6</v>
      </c>
      <c r="B22" s="364" t="s">
        <v>719</v>
      </c>
      <c r="C22" s="561" t="s">
        <v>3804</v>
      </c>
      <c r="D22" s="562" t="s">
        <v>721</v>
      </c>
      <c r="E22" s="524" t="s">
        <v>696</v>
      </c>
      <c r="F22" s="550">
        <v>44607</v>
      </c>
      <c r="G22" s="365" t="s">
        <v>3800</v>
      </c>
      <c r="H22" s="554" t="s">
        <v>3768</v>
      </c>
      <c r="I22" s="554"/>
      <c r="J22" s="555"/>
      <c r="K22" s="556"/>
      <c r="L22" s="114" t="s">
        <v>3900</v>
      </c>
    </row>
    <row r="23" spans="1:12">
      <c r="A23" s="365">
        <v>7</v>
      </c>
      <c r="B23" s="364" t="s">
        <v>723</v>
      </c>
      <c r="C23" s="561" t="s">
        <v>3805</v>
      </c>
      <c r="D23" s="562" t="s">
        <v>725</v>
      </c>
      <c r="E23" s="524" t="s">
        <v>696</v>
      </c>
      <c r="F23" s="550">
        <v>44607</v>
      </c>
      <c r="G23" s="365" t="s">
        <v>3800</v>
      </c>
      <c r="H23" s="554" t="s">
        <v>3768</v>
      </c>
      <c r="I23" s="554"/>
      <c r="J23" s="555"/>
      <c r="K23" s="556"/>
      <c r="L23" s="114" t="s">
        <v>3900</v>
      </c>
    </row>
    <row r="24" spans="1:12">
      <c r="A24" s="365">
        <v>8</v>
      </c>
      <c r="B24" s="364" t="s">
        <v>727</v>
      </c>
      <c r="C24" s="561" t="s">
        <v>3806</v>
      </c>
      <c r="D24" s="562" t="s">
        <v>729</v>
      </c>
      <c r="E24" s="524" t="s">
        <v>696</v>
      </c>
      <c r="F24" s="550">
        <v>44607</v>
      </c>
      <c r="G24" s="365" t="s">
        <v>3800</v>
      </c>
      <c r="H24" s="554" t="s">
        <v>3768</v>
      </c>
      <c r="I24" s="554"/>
      <c r="J24" s="555"/>
      <c r="K24" s="556"/>
      <c r="L24" s="114" t="s">
        <v>3900</v>
      </c>
    </row>
    <row r="25" spans="1:12">
      <c r="A25" s="365">
        <v>9</v>
      </c>
      <c r="B25" s="364" t="s">
        <v>731</v>
      </c>
      <c r="C25" s="561" t="s">
        <v>3807</v>
      </c>
      <c r="D25" s="562" t="s">
        <v>733</v>
      </c>
      <c r="E25" s="524" t="s">
        <v>696</v>
      </c>
      <c r="F25" s="550">
        <v>44607</v>
      </c>
      <c r="G25" s="365" t="s">
        <v>3800</v>
      </c>
      <c r="H25" s="551" t="s">
        <v>3765</v>
      </c>
      <c r="I25" s="552">
        <v>0.83</v>
      </c>
      <c r="J25" s="559">
        <v>0.7</v>
      </c>
      <c r="K25" s="560" t="s">
        <v>3901</v>
      </c>
      <c r="L25" s="114"/>
    </row>
    <row r="26" spans="1:12">
      <c r="A26" s="365">
        <v>10</v>
      </c>
      <c r="B26" s="364" t="s">
        <v>735</v>
      </c>
      <c r="C26" s="561" t="s">
        <v>3808</v>
      </c>
      <c r="D26" s="562" t="s">
        <v>737</v>
      </c>
      <c r="E26" s="524" t="s">
        <v>696</v>
      </c>
      <c r="F26" s="550">
        <v>44607</v>
      </c>
      <c r="G26" s="365" t="s">
        <v>3800</v>
      </c>
      <c r="H26" s="551" t="s">
        <v>3765</v>
      </c>
      <c r="I26" s="552">
        <v>0</v>
      </c>
      <c r="J26" s="559">
        <v>0.33</v>
      </c>
      <c r="K26" s="560" t="s">
        <v>3902</v>
      </c>
      <c r="L26" s="114"/>
    </row>
    <row r="27" spans="1:12">
      <c r="A27" s="365">
        <v>11</v>
      </c>
      <c r="B27" s="364" t="s">
        <v>739</v>
      </c>
      <c r="C27" s="563" t="s">
        <v>3903</v>
      </c>
      <c r="D27" s="564" t="s">
        <v>741</v>
      </c>
      <c r="E27" s="565" t="s">
        <v>742</v>
      </c>
      <c r="F27" s="550">
        <v>44607</v>
      </c>
      <c r="G27" s="365" t="s">
        <v>3800</v>
      </c>
      <c r="H27" s="551" t="s">
        <v>3765</v>
      </c>
      <c r="I27" s="552">
        <v>0.87</v>
      </c>
      <c r="J27" s="559">
        <v>0.7</v>
      </c>
      <c r="K27" s="560" t="s">
        <v>3904</v>
      </c>
      <c r="L27" s="114"/>
    </row>
    <row r="28" spans="1:12">
      <c r="A28" s="365">
        <v>12</v>
      </c>
      <c r="B28" s="364" t="s">
        <v>745</v>
      </c>
      <c r="C28" s="563" t="s">
        <v>3810</v>
      </c>
      <c r="D28" s="564" t="s">
        <v>747</v>
      </c>
      <c r="E28" s="565" t="s">
        <v>742</v>
      </c>
      <c r="F28" s="550">
        <v>44607</v>
      </c>
      <c r="G28" s="365" t="s">
        <v>3800</v>
      </c>
      <c r="H28" s="551" t="s">
        <v>3765</v>
      </c>
      <c r="I28" s="552">
        <v>0.6</v>
      </c>
      <c r="J28" s="559">
        <v>0.3</v>
      </c>
      <c r="K28" s="560" t="s">
        <v>3895</v>
      </c>
      <c r="L28" s="114"/>
    </row>
    <row r="29" spans="1:12">
      <c r="A29" s="365">
        <v>13</v>
      </c>
      <c r="B29" s="364" t="s">
        <v>749</v>
      </c>
      <c r="C29" s="566" t="s">
        <v>749</v>
      </c>
      <c r="D29" s="567" t="s">
        <v>750</v>
      </c>
      <c r="E29" s="565" t="s">
        <v>742</v>
      </c>
      <c r="F29" s="550">
        <v>44607</v>
      </c>
      <c r="G29" s="365" t="s">
        <v>3800</v>
      </c>
      <c r="H29" s="551" t="s">
        <v>3765</v>
      </c>
      <c r="I29" s="552">
        <v>1</v>
      </c>
      <c r="J29" s="559">
        <v>0.87</v>
      </c>
      <c r="K29" s="560" t="s">
        <v>3905</v>
      </c>
      <c r="L29" s="114"/>
    </row>
    <row r="30" spans="1:12">
      <c r="A30" s="365">
        <v>1</v>
      </c>
      <c r="B30" s="364" t="s">
        <v>768</v>
      </c>
      <c r="C30" s="551" t="s">
        <v>1261</v>
      </c>
      <c r="D30" s="568" t="s">
        <v>3906</v>
      </c>
      <c r="E30" s="527" t="s">
        <v>755</v>
      </c>
      <c r="F30" s="550">
        <v>44608</v>
      </c>
      <c r="G30" s="365" t="s">
        <v>3787</v>
      </c>
      <c r="H30" s="551" t="s">
        <v>3765</v>
      </c>
      <c r="I30" s="552">
        <v>0.56999999999999995</v>
      </c>
      <c r="J30" s="559">
        <v>0.63</v>
      </c>
      <c r="K30" s="560" t="s">
        <v>3902</v>
      </c>
      <c r="L30" s="114"/>
    </row>
    <row r="31" spans="1:12">
      <c r="A31" s="365">
        <v>2</v>
      </c>
      <c r="B31" s="364" t="s">
        <v>752</v>
      </c>
      <c r="C31" s="551" t="s">
        <v>1260</v>
      </c>
      <c r="D31" s="568" t="s">
        <v>754</v>
      </c>
      <c r="E31" s="527" t="s">
        <v>755</v>
      </c>
      <c r="F31" s="550">
        <v>44608</v>
      </c>
      <c r="G31" s="365" t="s">
        <v>3787</v>
      </c>
      <c r="H31" s="551" t="s">
        <v>3765</v>
      </c>
      <c r="I31" s="552">
        <v>0.8</v>
      </c>
      <c r="J31" s="559">
        <v>0.47</v>
      </c>
      <c r="K31" s="560" t="s">
        <v>3907</v>
      </c>
      <c r="L31" s="114"/>
    </row>
    <row r="32" spans="1:12">
      <c r="A32" s="365">
        <v>3</v>
      </c>
      <c r="B32" s="364" t="s">
        <v>1262</v>
      </c>
      <c r="C32" s="551" t="s">
        <v>1263</v>
      </c>
      <c r="D32" s="568" t="s">
        <v>1264</v>
      </c>
      <c r="E32" s="527" t="s">
        <v>755</v>
      </c>
      <c r="F32" s="550">
        <v>44608</v>
      </c>
      <c r="G32" s="365" t="s">
        <v>3787</v>
      </c>
      <c r="H32" s="551" t="s">
        <v>3765</v>
      </c>
      <c r="I32" s="552">
        <v>0</v>
      </c>
      <c r="J32" s="569">
        <v>0.33</v>
      </c>
      <c r="K32" s="560" t="s">
        <v>3908</v>
      </c>
      <c r="L32" s="114"/>
    </row>
    <row r="33" spans="1:12">
      <c r="A33" s="365">
        <v>4</v>
      </c>
      <c r="B33" s="364" t="s">
        <v>764</v>
      </c>
      <c r="C33" s="551" t="s">
        <v>3813</v>
      </c>
      <c r="D33" s="568" t="s">
        <v>766</v>
      </c>
      <c r="E33" s="527" t="s">
        <v>755</v>
      </c>
      <c r="F33" s="550">
        <v>44608</v>
      </c>
      <c r="G33" s="365" t="s">
        <v>3787</v>
      </c>
      <c r="H33" s="551" t="s">
        <v>3765</v>
      </c>
      <c r="I33" s="552">
        <v>0.5</v>
      </c>
      <c r="J33" s="569">
        <v>0.4</v>
      </c>
      <c r="K33" s="560" t="s">
        <v>3894</v>
      </c>
      <c r="L33" s="114"/>
    </row>
    <row r="34" spans="1:12">
      <c r="A34" s="365">
        <v>5</v>
      </c>
      <c r="B34" s="364" t="s">
        <v>772</v>
      </c>
      <c r="C34" s="551" t="s">
        <v>3814</v>
      </c>
      <c r="D34" s="568" t="s">
        <v>774</v>
      </c>
      <c r="E34" s="527" t="s">
        <v>775</v>
      </c>
      <c r="F34" s="550">
        <v>44608</v>
      </c>
      <c r="G34" s="365" t="s">
        <v>3787</v>
      </c>
      <c r="H34" s="551" t="s">
        <v>3765</v>
      </c>
      <c r="I34" s="552">
        <v>0.7</v>
      </c>
      <c r="J34" s="569">
        <v>0.7</v>
      </c>
      <c r="K34" s="569">
        <v>0.77</v>
      </c>
      <c r="L34" s="114"/>
    </row>
    <row r="35" spans="1:12">
      <c r="A35" s="365">
        <v>6</v>
      </c>
      <c r="B35" s="364" t="s">
        <v>778</v>
      </c>
      <c r="C35" s="551" t="s">
        <v>3815</v>
      </c>
      <c r="D35" s="568" t="s">
        <v>780</v>
      </c>
      <c r="E35" s="527" t="s">
        <v>775</v>
      </c>
      <c r="F35" s="550">
        <v>44608</v>
      </c>
      <c r="G35" s="365" t="s">
        <v>3787</v>
      </c>
      <c r="H35" s="551" t="s">
        <v>3765</v>
      </c>
      <c r="I35" s="552">
        <v>0.67</v>
      </c>
      <c r="J35" s="569">
        <v>0.5</v>
      </c>
      <c r="K35" s="569">
        <v>0.73</v>
      </c>
      <c r="L35" s="114"/>
    </row>
    <row r="36" spans="1:12">
      <c r="A36" s="365">
        <v>7</v>
      </c>
      <c r="B36" s="364" t="s">
        <v>782</v>
      </c>
      <c r="C36" s="551" t="s">
        <v>3816</v>
      </c>
      <c r="D36" s="568" t="s">
        <v>784</v>
      </c>
      <c r="E36" s="527" t="s">
        <v>775</v>
      </c>
      <c r="F36" s="550">
        <v>44608</v>
      </c>
      <c r="G36" s="365" t="s">
        <v>3787</v>
      </c>
      <c r="H36" s="551" t="s">
        <v>3765</v>
      </c>
      <c r="I36" s="552">
        <v>0.47</v>
      </c>
      <c r="J36" s="569">
        <v>0.33</v>
      </c>
      <c r="K36" s="569">
        <v>0.4</v>
      </c>
      <c r="L36" s="114"/>
    </row>
    <row r="37" spans="1:12">
      <c r="A37" s="365">
        <v>8</v>
      </c>
      <c r="B37" s="364" t="s">
        <v>786</v>
      </c>
      <c r="C37" s="551" t="s">
        <v>3817</v>
      </c>
      <c r="D37" s="568" t="s">
        <v>788</v>
      </c>
      <c r="E37" s="527" t="s">
        <v>775</v>
      </c>
      <c r="F37" s="550">
        <v>44608</v>
      </c>
      <c r="G37" s="365" t="s">
        <v>3787</v>
      </c>
      <c r="H37" s="551" t="s">
        <v>3765</v>
      </c>
      <c r="I37" s="552">
        <v>0.9</v>
      </c>
      <c r="J37" s="569">
        <v>0.73</v>
      </c>
      <c r="K37" s="569">
        <v>0.73</v>
      </c>
      <c r="L37" s="114"/>
    </row>
    <row r="38" spans="1:12">
      <c r="A38" s="365">
        <v>9</v>
      </c>
      <c r="B38" s="364" t="s">
        <v>790</v>
      </c>
      <c r="C38" s="551" t="s">
        <v>3818</v>
      </c>
      <c r="D38" s="568" t="s">
        <v>792</v>
      </c>
      <c r="E38" s="527" t="s">
        <v>775</v>
      </c>
      <c r="F38" s="550">
        <v>44608</v>
      </c>
      <c r="G38" s="365" t="s">
        <v>3787</v>
      </c>
      <c r="H38" s="551" t="s">
        <v>3765</v>
      </c>
      <c r="I38" s="552">
        <v>0.83</v>
      </c>
      <c r="J38" s="569">
        <v>0.7</v>
      </c>
      <c r="K38" s="569">
        <v>0.73</v>
      </c>
      <c r="L38" s="114"/>
    </row>
    <row r="39" spans="1:12">
      <c r="A39" s="365">
        <v>10</v>
      </c>
      <c r="B39" s="364" t="s">
        <v>816</v>
      </c>
      <c r="C39" s="570" t="s">
        <v>3822</v>
      </c>
      <c r="D39" s="571" t="s">
        <v>818</v>
      </c>
      <c r="E39" s="530" t="s">
        <v>819</v>
      </c>
      <c r="F39" s="550">
        <v>44608</v>
      </c>
      <c r="G39" s="365" t="s">
        <v>3787</v>
      </c>
      <c r="H39" s="551" t="s">
        <v>3765</v>
      </c>
      <c r="I39" s="552">
        <v>0.67</v>
      </c>
      <c r="J39" s="569">
        <v>0.5</v>
      </c>
      <c r="K39" s="569">
        <v>0.83</v>
      </c>
      <c r="L39" s="114"/>
    </row>
    <row r="40" spans="1:12">
      <c r="A40" s="365">
        <v>11</v>
      </c>
      <c r="B40" s="364" t="s">
        <v>822</v>
      </c>
      <c r="C40" s="570" t="s">
        <v>1133</v>
      </c>
      <c r="D40" s="571" t="s">
        <v>824</v>
      </c>
      <c r="E40" s="530" t="s">
        <v>819</v>
      </c>
      <c r="F40" s="550">
        <v>44608</v>
      </c>
      <c r="G40" s="365" t="s">
        <v>3787</v>
      </c>
      <c r="H40" s="551" t="s">
        <v>3765</v>
      </c>
      <c r="I40" s="552">
        <v>0.63</v>
      </c>
      <c r="J40" s="559">
        <v>0.56999999999999995</v>
      </c>
      <c r="K40" s="560" t="s">
        <v>3901</v>
      </c>
      <c r="L40" s="114"/>
    </row>
    <row r="41" spans="1:12">
      <c r="A41" s="365">
        <v>12</v>
      </c>
      <c r="B41" s="364" t="s">
        <v>826</v>
      </c>
      <c r="C41" s="570" t="s">
        <v>3824</v>
      </c>
      <c r="D41" s="571" t="s">
        <v>828</v>
      </c>
      <c r="E41" s="530" t="s">
        <v>819</v>
      </c>
      <c r="F41" s="550">
        <v>44608</v>
      </c>
      <c r="G41" s="365" t="s">
        <v>3787</v>
      </c>
      <c r="H41" s="551" t="s">
        <v>3765</v>
      </c>
      <c r="I41" s="552">
        <v>0.67</v>
      </c>
      <c r="J41" s="559">
        <v>0.5</v>
      </c>
      <c r="K41" s="560" t="s">
        <v>3896</v>
      </c>
      <c r="L41" s="114"/>
    </row>
    <row r="42" spans="1:12">
      <c r="A42" s="365">
        <v>13</v>
      </c>
      <c r="B42" s="364" t="s">
        <v>830</v>
      </c>
      <c r="C42" s="570" t="s">
        <v>3825</v>
      </c>
      <c r="D42" s="571" t="s">
        <v>3909</v>
      </c>
      <c r="E42" s="530" t="s">
        <v>819</v>
      </c>
      <c r="F42" s="550">
        <v>44608</v>
      </c>
      <c r="G42" s="365" t="s">
        <v>3787</v>
      </c>
      <c r="H42" s="551" t="s">
        <v>3765</v>
      </c>
      <c r="I42" s="552">
        <v>0.63</v>
      </c>
      <c r="J42" s="552">
        <v>0.53</v>
      </c>
      <c r="K42" s="552">
        <v>0.56999999999999995</v>
      </c>
      <c r="L42" s="113"/>
    </row>
    <row r="43" spans="1:12">
      <c r="A43" s="365">
        <v>14</v>
      </c>
      <c r="B43" s="364" t="s">
        <v>834</v>
      </c>
      <c r="C43" s="570" t="s">
        <v>3826</v>
      </c>
      <c r="D43" s="571" t="s">
        <v>836</v>
      </c>
      <c r="E43" s="530" t="s">
        <v>819</v>
      </c>
      <c r="F43" s="550">
        <v>44608</v>
      </c>
      <c r="G43" s="365" t="s">
        <v>3787</v>
      </c>
      <c r="H43" s="551" t="s">
        <v>3765</v>
      </c>
      <c r="I43" s="552">
        <v>0.63</v>
      </c>
      <c r="J43" s="552">
        <v>0.63</v>
      </c>
      <c r="K43" s="552">
        <v>0.67</v>
      </c>
      <c r="L43" s="113"/>
    </row>
    <row r="44" spans="1:12">
      <c r="A44" s="365">
        <v>15</v>
      </c>
      <c r="B44" s="364" t="s">
        <v>838</v>
      </c>
      <c r="C44" s="570" t="s">
        <v>3827</v>
      </c>
      <c r="D44" s="571" t="s">
        <v>840</v>
      </c>
      <c r="E44" s="530" t="s">
        <v>819</v>
      </c>
      <c r="F44" s="550">
        <v>44608</v>
      </c>
      <c r="G44" s="365" t="s">
        <v>3787</v>
      </c>
      <c r="H44" s="551" t="s">
        <v>3765</v>
      </c>
      <c r="I44" s="552">
        <v>0.8</v>
      </c>
      <c r="J44" s="552">
        <v>0.67</v>
      </c>
      <c r="K44" s="552">
        <v>0.67</v>
      </c>
      <c r="L44" s="113"/>
    </row>
    <row r="45" spans="1:12">
      <c r="A45" s="365">
        <v>1</v>
      </c>
      <c r="B45" s="364" t="s">
        <v>864</v>
      </c>
      <c r="C45" s="570" t="s">
        <v>3830</v>
      </c>
      <c r="D45" s="571" t="s">
        <v>866</v>
      </c>
      <c r="E45" s="530" t="s">
        <v>867</v>
      </c>
      <c r="F45" s="550">
        <v>44608</v>
      </c>
      <c r="G45" s="365" t="s">
        <v>3800</v>
      </c>
      <c r="H45" s="551" t="s">
        <v>3765</v>
      </c>
      <c r="I45" s="552">
        <v>0.83</v>
      </c>
      <c r="J45" s="552">
        <v>0.56999999999999995</v>
      </c>
      <c r="K45" s="552">
        <v>0.87</v>
      </c>
      <c r="L45" s="113"/>
    </row>
    <row r="46" spans="1:12">
      <c r="A46" s="365">
        <v>2</v>
      </c>
      <c r="B46" s="364" t="s">
        <v>1223</v>
      </c>
      <c r="C46" s="570" t="s">
        <v>3831</v>
      </c>
      <c r="D46" s="571" t="s">
        <v>1225</v>
      </c>
      <c r="E46" s="530" t="s">
        <v>873</v>
      </c>
      <c r="F46" s="550">
        <v>44608</v>
      </c>
      <c r="G46" s="365" t="s">
        <v>3800</v>
      </c>
      <c r="H46" s="551" t="s">
        <v>3765</v>
      </c>
      <c r="I46" s="552">
        <v>0.63</v>
      </c>
      <c r="J46" s="552">
        <v>0.33</v>
      </c>
      <c r="K46" s="552">
        <v>0.53</v>
      </c>
      <c r="L46" s="113"/>
    </row>
    <row r="47" spans="1:12">
      <c r="A47" s="365">
        <v>3</v>
      </c>
      <c r="B47" s="364" t="s">
        <v>876</v>
      </c>
      <c r="C47" s="570" t="s">
        <v>3832</v>
      </c>
      <c r="D47" s="571" t="s">
        <v>878</v>
      </c>
      <c r="E47" s="530" t="s">
        <v>879</v>
      </c>
      <c r="F47" s="550">
        <v>44608</v>
      </c>
      <c r="G47" s="365" t="s">
        <v>3800</v>
      </c>
      <c r="H47" s="551" t="s">
        <v>3765</v>
      </c>
      <c r="I47" s="552">
        <v>0.9</v>
      </c>
      <c r="J47" s="552">
        <v>0.6</v>
      </c>
      <c r="K47" s="552">
        <v>0.8</v>
      </c>
      <c r="L47" s="113"/>
    </row>
    <row r="48" spans="1:12">
      <c r="A48" s="365">
        <v>4</v>
      </c>
      <c r="B48" s="364" t="s">
        <v>882</v>
      </c>
      <c r="C48" s="570" t="s">
        <v>3833</v>
      </c>
      <c r="D48" s="571" t="s">
        <v>884</v>
      </c>
      <c r="E48" s="530" t="s">
        <v>879</v>
      </c>
      <c r="F48" s="550">
        <v>44608</v>
      </c>
      <c r="G48" s="365" t="s">
        <v>3800</v>
      </c>
      <c r="H48" s="551" t="s">
        <v>3765</v>
      </c>
      <c r="I48" s="552">
        <v>0.63</v>
      </c>
      <c r="J48" s="552">
        <v>0.47</v>
      </c>
      <c r="K48" s="552">
        <v>0.4</v>
      </c>
      <c r="L48" s="113"/>
    </row>
    <row r="49" spans="1:12">
      <c r="A49" s="365">
        <v>5</v>
      </c>
      <c r="B49" s="364" t="s">
        <v>886</v>
      </c>
      <c r="C49" s="570" t="s">
        <v>3834</v>
      </c>
      <c r="D49" s="571" t="s">
        <v>888</v>
      </c>
      <c r="E49" s="530" t="s">
        <v>889</v>
      </c>
      <c r="F49" s="550">
        <v>44608</v>
      </c>
      <c r="G49" s="365" t="s">
        <v>3800</v>
      </c>
      <c r="H49" s="551" t="s">
        <v>3765</v>
      </c>
      <c r="I49" s="552">
        <v>0.77</v>
      </c>
      <c r="J49" s="552">
        <v>0.7</v>
      </c>
      <c r="K49" s="552">
        <v>0.83</v>
      </c>
      <c r="L49" s="113"/>
    </row>
    <row r="50" spans="1:12">
      <c r="A50" s="365">
        <v>6</v>
      </c>
      <c r="B50" s="364" t="s">
        <v>892</v>
      </c>
      <c r="C50" s="570" t="s">
        <v>3835</v>
      </c>
      <c r="D50" s="571" t="s">
        <v>894</v>
      </c>
      <c r="E50" s="530" t="s">
        <v>889</v>
      </c>
      <c r="F50" s="550">
        <v>44608</v>
      </c>
      <c r="G50" s="365" t="s">
        <v>3800</v>
      </c>
      <c r="H50" s="551" t="s">
        <v>3765</v>
      </c>
      <c r="I50" s="552">
        <v>0.7</v>
      </c>
      <c r="J50" s="552">
        <v>0.3</v>
      </c>
      <c r="K50" s="552">
        <v>0.53</v>
      </c>
      <c r="L50" s="113"/>
    </row>
    <row r="51" spans="1:12">
      <c r="A51" s="365">
        <v>7</v>
      </c>
      <c r="B51" s="364" t="s">
        <v>896</v>
      </c>
      <c r="C51" s="570" t="s">
        <v>3836</v>
      </c>
      <c r="D51" s="571" t="s">
        <v>898</v>
      </c>
      <c r="E51" s="530" t="s">
        <v>899</v>
      </c>
      <c r="F51" s="550">
        <v>44608</v>
      </c>
      <c r="G51" s="365" t="s">
        <v>3800</v>
      </c>
      <c r="H51" s="551" t="s">
        <v>3765</v>
      </c>
      <c r="I51" s="552">
        <v>0.73</v>
      </c>
      <c r="J51" s="552">
        <v>0.6</v>
      </c>
      <c r="K51" s="552">
        <v>0.6</v>
      </c>
      <c r="L51" s="181"/>
    </row>
    <row r="52" spans="1:12">
      <c r="A52" s="365">
        <v>8</v>
      </c>
      <c r="B52" s="364" t="s">
        <v>902</v>
      </c>
      <c r="C52" s="570" t="s">
        <v>3837</v>
      </c>
      <c r="D52" s="571" t="s">
        <v>904</v>
      </c>
      <c r="E52" s="530" t="s">
        <v>899</v>
      </c>
      <c r="F52" s="550">
        <v>44608</v>
      </c>
      <c r="G52" s="365" t="s">
        <v>3800</v>
      </c>
      <c r="H52" s="554" t="s">
        <v>3768</v>
      </c>
      <c r="I52" s="554"/>
      <c r="J52" s="554"/>
      <c r="K52" s="554"/>
      <c r="L52" s="181" t="s">
        <v>3893</v>
      </c>
    </row>
    <row r="53" spans="1:12">
      <c r="A53" s="365">
        <v>9</v>
      </c>
      <c r="B53" s="364" t="s">
        <v>906</v>
      </c>
      <c r="C53" s="570" t="s">
        <v>3838</v>
      </c>
      <c r="D53" s="571" t="s">
        <v>908</v>
      </c>
      <c r="E53" s="530" t="s">
        <v>899</v>
      </c>
      <c r="F53" s="550">
        <v>44608</v>
      </c>
      <c r="G53" s="365" t="s">
        <v>3800</v>
      </c>
      <c r="H53" s="551" t="s">
        <v>3765</v>
      </c>
      <c r="I53" s="552">
        <v>0.67</v>
      </c>
      <c r="J53" s="552">
        <v>0.5</v>
      </c>
      <c r="K53" s="552">
        <v>0.67</v>
      </c>
      <c r="L53" s="181"/>
    </row>
    <row r="54" spans="1:12">
      <c r="A54" s="365">
        <v>10</v>
      </c>
      <c r="B54" s="364" t="s">
        <v>910</v>
      </c>
      <c r="C54" s="570" t="s">
        <v>1251</v>
      </c>
      <c r="D54" s="571" t="s">
        <v>912</v>
      </c>
      <c r="E54" s="530" t="s">
        <v>899</v>
      </c>
      <c r="F54" s="550">
        <v>44608</v>
      </c>
      <c r="G54" s="365" t="s">
        <v>3800</v>
      </c>
      <c r="H54" s="551" t="s">
        <v>3765</v>
      </c>
      <c r="I54" s="552">
        <v>0.63</v>
      </c>
      <c r="J54" s="552">
        <v>0.37</v>
      </c>
      <c r="K54" s="552">
        <v>0.6</v>
      </c>
      <c r="L54" s="181"/>
    </row>
    <row r="55" spans="1:12">
      <c r="A55" s="365">
        <v>11</v>
      </c>
      <c r="B55" s="364" t="s">
        <v>914</v>
      </c>
      <c r="C55" s="570" t="s">
        <v>3839</v>
      </c>
      <c r="D55" s="571" t="s">
        <v>916</v>
      </c>
      <c r="E55" s="530" t="s">
        <v>917</v>
      </c>
      <c r="F55" s="550">
        <v>44608</v>
      </c>
      <c r="G55" s="365" t="s">
        <v>3800</v>
      </c>
      <c r="H55" s="551" t="s">
        <v>3765</v>
      </c>
      <c r="I55" s="552">
        <v>0.3</v>
      </c>
      <c r="J55" s="552">
        <v>0.23</v>
      </c>
      <c r="K55" s="552">
        <v>0.37</v>
      </c>
      <c r="L55" s="181"/>
    </row>
    <row r="56" spans="1:12">
      <c r="A56" s="365">
        <v>12</v>
      </c>
      <c r="B56" s="364" t="s">
        <v>920</v>
      </c>
      <c r="C56" s="570" t="s">
        <v>1242</v>
      </c>
      <c r="D56" s="571" t="s">
        <v>922</v>
      </c>
      <c r="E56" s="530" t="s">
        <v>917</v>
      </c>
      <c r="F56" s="550">
        <v>44608</v>
      </c>
      <c r="G56" s="365" t="s">
        <v>3800</v>
      </c>
      <c r="H56" s="551" t="s">
        <v>3765</v>
      </c>
      <c r="I56" s="552">
        <v>0.17</v>
      </c>
      <c r="J56" s="552">
        <v>0.33</v>
      </c>
      <c r="K56" s="552">
        <v>0.4</v>
      </c>
      <c r="L56" s="181"/>
    </row>
    <row r="57" spans="1:12">
      <c r="A57" s="365">
        <v>13</v>
      </c>
      <c r="B57" s="364" t="s">
        <v>924</v>
      </c>
      <c r="C57" s="570" t="s">
        <v>1244</v>
      </c>
      <c r="D57" s="571" t="s">
        <v>926</v>
      </c>
      <c r="E57" s="530" t="s">
        <v>917</v>
      </c>
      <c r="F57" s="550">
        <v>44608</v>
      </c>
      <c r="G57" s="365" t="s">
        <v>3800</v>
      </c>
      <c r="H57" s="551" t="s">
        <v>3765</v>
      </c>
      <c r="I57" s="552">
        <v>0.37</v>
      </c>
      <c r="J57" s="552">
        <v>0.4</v>
      </c>
      <c r="K57" s="552">
        <v>0.5</v>
      </c>
      <c r="L57" s="181"/>
    </row>
    <row r="58" spans="1:12">
      <c r="A58" s="365">
        <v>14</v>
      </c>
      <c r="B58" s="364" t="s">
        <v>928</v>
      </c>
      <c r="C58" s="570" t="s">
        <v>3840</v>
      </c>
      <c r="D58" s="571" t="s">
        <v>930</v>
      </c>
      <c r="E58" s="530" t="s">
        <v>917</v>
      </c>
      <c r="F58" s="550">
        <v>44608</v>
      </c>
      <c r="G58" s="365" t="s">
        <v>3800</v>
      </c>
      <c r="H58" s="551" t="s">
        <v>3765</v>
      </c>
      <c r="I58" s="552">
        <v>0.73</v>
      </c>
      <c r="J58" s="552">
        <v>0.3</v>
      </c>
      <c r="K58" s="552">
        <v>0.47</v>
      </c>
      <c r="L58" s="181"/>
    </row>
    <row r="59" spans="1:12">
      <c r="A59" s="365">
        <v>15</v>
      </c>
      <c r="B59" s="364" t="s">
        <v>932</v>
      </c>
      <c r="C59" s="570" t="s">
        <v>1243</v>
      </c>
      <c r="D59" s="571" t="s">
        <v>934</v>
      </c>
      <c r="E59" s="530" t="s">
        <v>917</v>
      </c>
      <c r="F59" s="550">
        <v>44608</v>
      </c>
      <c r="G59" s="365" t="s">
        <v>3800</v>
      </c>
      <c r="H59" s="551" t="s">
        <v>3765</v>
      </c>
      <c r="I59" s="552">
        <v>0.23</v>
      </c>
      <c r="J59" s="552">
        <v>0.13</v>
      </c>
      <c r="K59" s="552">
        <v>0.37</v>
      </c>
      <c r="L59" s="181"/>
    </row>
    <row r="60" spans="1:12">
      <c r="A60" s="365">
        <v>1</v>
      </c>
      <c r="B60" s="364" t="s">
        <v>936</v>
      </c>
      <c r="C60" s="570" t="s">
        <v>3578</v>
      </c>
      <c r="D60" s="571" t="s">
        <v>938</v>
      </c>
      <c r="E60" s="530" t="s">
        <v>939</v>
      </c>
      <c r="F60" s="550">
        <v>44609</v>
      </c>
      <c r="G60" s="365" t="s">
        <v>3787</v>
      </c>
      <c r="H60" s="551" t="s">
        <v>3765</v>
      </c>
      <c r="I60" s="552">
        <v>0.73</v>
      </c>
      <c r="J60" s="552">
        <v>0.43</v>
      </c>
      <c r="K60" s="552">
        <v>0.43</v>
      </c>
      <c r="L60" s="181"/>
    </row>
    <row r="61" spans="1:12">
      <c r="A61" s="365">
        <v>2</v>
      </c>
      <c r="B61" s="364" t="s">
        <v>942</v>
      </c>
      <c r="C61" s="570" t="s">
        <v>3841</v>
      </c>
      <c r="D61" s="571" t="s">
        <v>944</v>
      </c>
      <c r="E61" s="530" t="s">
        <v>939</v>
      </c>
      <c r="F61" s="550">
        <v>44609</v>
      </c>
      <c r="G61" s="365" t="s">
        <v>3787</v>
      </c>
      <c r="H61" s="551" t="s">
        <v>3765</v>
      </c>
      <c r="I61" s="552">
        <v>0.53</v>
      </c>
      <c r="J61" s="552">
        <v>0.43</v>
      </c>
      <c r="K61" s="552">
        <v>0.77</v>
      </c>
      <c r="L61" s="181"/>
    </row>
    <row r="62" spans="1:12">
      <c r="A62" s="365">
        <v>3</v>
      </c>
      <c r="B62" s="364" t="s">
        <v>946</v>
      </c>
      <c r="C62" s="570" t="s">
        <v>3842</v>
      </c>
      <c r="D62" s="571" t="s">
        <v>948</v>
      </c>
      <c r="E62" s="530" t="s">
        <v>939</v>
      </c>
      <c r="F62" s="550">
        <v>44609</v>
      </c>
      <c r="G62" s="365" t="s">
        <v>3787</v>
      </c>
      <c r="H62" s="551" t="s">
        <v>3765</v>
      </c>
      <c r="I62" s="552">
        <v>0.83</v>
      </c>
      <c r="J62" s="552">
        <v>0.56999999999999995</v>
      </c>
      <c r="K62" s="552">
        <v>0.63</v>
      </c>
      <c r="L62" s="181"/>
    </row>
    <row r="63" spans="1:12">
      <c r="A63" s="365">
        <v>4</v>
      </c>
      <c r="B63" s="364" t="s">
        <v>970</v>
      </c>
      <c r="C63" s="572" t="s">
        <v>3847</v>
      </c>
      <c r="D63" s="573" t="s">
        <v>972</v>
      </c>
      <c r="E63" s="532" t="s">
        <v>861</v>
      </c>
      <c r="F63" s="550">
        <v>44609</v>
      </c>
      <c r="G63" s="365" t="s">
        <v>3787</v>
      </c>
      <c r="H63" s="554" t="s">
        <v>3768</v>
      </c>
      <c r="I63" s="554"/>
      <c r="J63" s="554"/>
      <c r="K63" s="554"/>
      <c r="L63" s="181" t="s">
        <v>3893</v>
      </c>
    </row>
    <row r="64" spans="1:12">
      <c r="A64" s="365">
        <v>5</v>
      </c>
      <c r="B64" s="364" t="s">
        <v>954</v>
      </c>
      <c r="C64" s="570" t="s">
        <v>3843</v>
      </c>
      <c r="D64" s="571" t="s">
        <v>956</v>
      </c>
      <c r="E64" s="530" t="s">
        <v>939</v>
      </c>
      <c r="F64" s="550">
        <v>44609</v>
      </c>
      <c r="G64" s="365" t="s">
        <v>3787</v>
      </c>
      <c r="H64" s="551" t="s">
        <v>3765</v>
      </c>
      <c r="I64" s="552">
        <v>0.5</v>
      </c>
      <c r="J64" s="552">
        <v>0.3</v>
      </c>
      <c r="K64" s="552">
        <v>0.67</v>
      </c>
      <c r="L64" s="181"/>
    </row>
    <row r="65" spans="1:12">
      <c r="A65" s="365">
        <v>6</v>
      </c>
      <c r="B65" s="364" t="s">
        <v>958</v>
      </c>
      <c r="C65" s="572" t="s">
        <v>3844</v>
      </c>
      <c r="D65" s="573" t="s">
        <v>960</v>
      </c>
      <c r="E65" s="530" t="s">
        <v>939</v>
      </c>
      <c r="F65" s="550">
        <v>44609</v>
      </c>
      <c r="G65" s="365" t="s">
        <v>3787</v>
      </c>
      <c r="H65" s="551" t="s">
        <v>3765</v>
      </c>
      <c r="I65" s="552">
        <v>0.73</v>
      </c>
      <c r="J65" s="552">
        <v>0.5</v>
      </c>
      <c r="K65" s="552">
        <v>0.8</v>
      </c>
      <c r="L65" s="181"/>
    </row>
    <row r="66" spans="1:12">
      <c r="A66" s="365">
        <v>7</v>
      </c>
      <c r="B66" s="364" t="s">
        <v>962</v>
      </c>
      <c r="C66" s="572" t="s">
        <v>3845</v>
      </c>
      <c r="D66" s="573" t="s">
        <v>964</v>
      </c>
      <c r="E66" s="530" t="s">
        <v>939</v>
      </c>
      <c r="F66" s="550">
        <v>44609</v>
      </c>
      <c r="G66" s="365" t="s">
        <v>3787</v>
      </c>
      <c r="H66" s="551" t="s">
        <v>3765</v>
      </c>
      <c r="I66" s="552">
        <v>0.6</v>
      </c>
      <c r="J66" s="552">
        <v>0.33</v>
      </c>
      <c r="K66" s="552">
        <v>0.56999999999999995</v>
      </c>
      <c r="L66" s="181"/>
    </row>
    <row r="67" spans="1:12">
      <c r="A67" s="365">
        <v>8</v>
      </c>
      <c r="B67" s="364" t="s">
        <v>966</v>
      </c>
      <c r="C67" s="572" t="s">
        <v>3846</v>
      </c>
      <c r="D67" s="573" t="s">
        <v>968</v>
      </c>
      <c r="E67" s="530" t="s">
        <v>939</v>
      </c>
      <c r="F67" s="550">
        <v>44609</v>
      </c>
      <c r="G67" s="365" t="s">
        <v>3787</v>
      </c>
      <c r="H67" s="551" t="s">
        <v>3765</v>
      </c>
      <c r="I67" s="552">
        <v>0.56999999999999995</v>
      </c>
      <c r="J67" s="552">
        <v>0.5</v>
      </c>
      <c r="K67" s="552">
        <v>0.67</v>
      </c>
      <c r="L67" s="181"/>
    </row>
    <row r="68" spans="1:12">
      <c r="A68" s="365">
        <v>9</v>
      </c>
      <c r="B68" s="364" t="s">
        <v>950</v>
      </c>
      <c r="C68" s="570" t="s">
        <v>951</v>
      </c>
      <c r="D68" s="571" t="s">
        <v>952</v>
      </c>
      <c r="E68" s="530" t="s">
        <v>939</v>
      </c>
      <c r="F68" s="550">
        <v>44609</v>
      </c>
      <c r="G68" s="365" t="s">
        <v>3787</v>
      </c>
      <c r="H68" s="551" t="s">
        <v>3765</v>
      </c>
      <c r="I68" s="552">
        <v>0.53</v>
      </c>
      <c r="J68" s="552">
        <v>0.63</v>
      </c>
      <c r="K68" s="552">
        <v>0.8</v>
      </c>
      <c r="L68" s="181"/>
    </row>
    <row r="69" spans="1:12">
      <c r="A69" s="365">
        <v>10</v>
      </c>
      <c r="B69" s="364" t="s">
        <v>974</v>
      </c>
      <c r="C69" s="572" t="s">
        <v>975</v>
      </c>
      <c r="D69" s="573" t="s">
        <v>976</v>
      </c>
      <c r="E69" s="532" t="s">
        <v>861</v>
      </c>
      <c r="F69" s="550">
        <v>44609</v>
      </c>
      <c r="G69" s="365" t="s">
        <v>3787</v>
      </c>
      <c r="H69" s="551" t="s">
        <v>3765</v>
      </c>
      <c r="I69" s="552">
        <v>0.7</v>
      </c>
      <c r="J69" s="552">
        <v>0.37</v>
      </c>
      <c r="K69" s="552">
        <v>0.6</v>
      </c>
      <c r="L69" s="181"/>
    </row>
    <row r="70" spans="1:12">
      <c r="A70" s="365">
        <v>11</v>
      </c>
      <c r="B70" s="364" t="s">
        <v>978</v>
      </c>
      <c r="C70" s="572" t="s">
        <v>979</v>
      </c>
      <c r="D70" s="573" t="s">
        <v>980</v>
      </c>
      <c r="E70" s="532" t="s">
        <v>861</v>
      </c>
      <c r="F70" s="550">
        <v>44609</v>
      </c>
      <c r="G70" s="365" t="s">
        <v>3787</v>
      </c>
      <c r="H70" s="551" t="s">
        <v>3765</v>
      </c>
      <c r="I70" s="552">
        <v>0.67</v>
      </c>
      <c r="J70" s="552">
        <v>0.37</v>
      </c>
      <c r="K70" s="552">
        <v>0.56999999999999995</v>
      </c>
      <c r="L70" s="181"/>
    </row>
    <row r="71" spans="1:12">
      <c r="A71" s="365">
        <v>12</v>
      </c>
      <c r="B71" s="364" t="s">
        <v>982</v>
      </c>
      <c r="C71" s="572" t="s">
        <v>983</v>
      </c>
      <c r="D71" s="573" t="s">
        <v>984</v>
      </c>
      <c r="E71" s="532" t="s">
        <v>861</v>
      </c>
      <c r="F71" s="550">
        <v>44609</v>
      </c>
      <c r="G71" s="365" t="s">
        <v>3787</v>
      </c>
      <c r="H71" s="551" t="s">
        <v>3765</v>
      </c>
      <c r="I71" s="552">
        <v>0.5</v>
      </c>
      <c r="J71" s="552">
        <v>0.3</v>
      </c>
      <c r="K71" s="552">
        <v>0.5</v>
      </c>
      <c r="L71" s="181"/>
    </row>
    <row r="72" spans="1:12">
      <c r="A72" s="365">
        <v>13</v>
      </c>
      <c r="B72" s="364" t="s">
        <v>986</v>
      </c>
      <c r="C72" s="572" t="s">
        <v>987</v>
      </c>
      <c r="D72" s="573" t="s">
        <v>988</v>
      </c>
      <c r="E72" s="532" t="s">
        <v>861</v>
      </c>
      <c r="F72" s="550">
        <v>44609</v>
      </c>
      <c r="G72" s="365" t="s">
        <v>3787</v>
      </c>
      <c r="H72" s="551" t="s">
        <v>3765</v>
      </c>
      <c r="I72" s="552">
        <v>0.56999999999999995</v>
      </c>
      <c r="J72" s="552">
        <v>0.27</v>
      </c>
      <c r="K72" s="552">
        <v>0.47</v>
      </c>
      <c r="L72" s="181"/>
    </row>
    <row r="73" spans="1:12">
      <c r="A73" s="365">
        <v>14</v>
      </c>
      <c r="B73" s="364" t="s">
        <v>990</v>
      </c>
      <c r="C73" s="572" t="s">
        <v>991</v>
      </c>
      <c r="D73" s="573" t="s">
        <v>992</v>
      </c>
      <c r="E73" s="532" t="s">
        <v>861</v>
      </c>
      <c r="F73" s="550">
        <v>44609</v>
      </c>
      <c r="G73" s="365" t="s">
        <v>3787</v>
      </c>
      <c r="H73" s="551" t="s">
        <v>3765</v>
      </c>
      <c r="I73" s="552">
        <v>0.77</v>
      </c>
      <c r="J73" s="552">
        <v>0.5</v>
      </c>
      <c r="K73" s="552">
        <v>0.73</v>
      </c>
      <c r="L73" s="181"/>
    </row>
    <row r="74" spans="1:12">
      <c r="A74" s="365">
        <v>15</v>
      </c>
      <c r="B74" s="364" t="s">
        <v>858</v>
      </c>
      <c r="C74" s="570" t="s">
        <v>3848</v>
      </c>
      <c r="D74" s="571" t="s">
        <v>860</v>
      </c>
      <c r="E74" s="530" t="s">
        <v>861</v>
      </c>
      <c r="F74" s="550">
        <v>44609</v>
      </c>
      <c r="G74" s="365" t="s">
        <v>3787</v>
      </c>
      <c r="H74" s="551" t="s">
        <v>3765</v>
      </c>
      <c r="I74" s="552">
        <v>0.77</v>
      </c>
      <c r="J74" s="552">
        <v>0.63</v>
      </c>
      <c r="K74" s="552">
        <v>0.7</v>
      </c>
      <c r="L74" s="181"/>
    </row>
    <row r="75" spans="1:12">
      <c r="A75" s="365">
        <v>1</v>
      </c>
      <c r="B75" s="364" t="s">
        <v>842</v>
      </c>
      <c r="C75" s="570" t="s">
        <v>843</v>
      </c>
      <c r="D75" s="571" t="s">
        <v>844</v>
      </c>
      <c r="E75" s="530" t="s">
        <v>845</v>
      </c>
      <c r="F75" s="550">
        <v>44609</v>
      </c>
      <c r="G75" s="365" t="s">
        <v>3800</v>
      </c>
      <c r="H75" s="551" t="s">
        <v>3765</v>
      </c>
      <c r="I75" s="552">
        <v>0.63</v>
      </c>
      <c r="J75" s="552">
        <v>0.4</v>
      </c>
      <c r="K75" s="552">
        <v>0.53</v>
      </c>
      <c r="L75" s="181"/>
    </row>
    <row r="76" spans="1:12">
      <c r="A76" s="365">
        <v>2</v>
      </c>
      <c r="B76" s="364" t="s">
        <v>1008</v>
      </c>
      <c r="C76" s="574" t="s">
        <v>3852</v>
      </c>
      <c r="D76" s="575" t="s">
        <v>1010</v>
      </c>
      <c r="E76" s="576" t="s">
        <v>1011</v>
      </c>
      <c r="F76" s="577">
        <v>44609</v>
      </c>
      <c r="G76" s="463" t="s">
        <v>3800</v>
      </c>
      <c r="H76" s="551" t="s">
        <v>3765</v>
      </c>
      <c r="I76" s="552">
        <v>0.77</v>
      </c>
      <c r="J76" s="552">
        <v>0.73</v>
      </c>
      <c r="K76" s="552">
        <v>0.9</v>
      </c>
      <c r="L76" s="181"/>
    </row>
    <row r="77" spans="1:12">
      <c r="A77" s="365">
        <v>3</v>
      </c>
      <c r="B77" s="364" t="s">
        <v>1281</v>
      </c>
      <c r="C77" s="563" t="s">
        <v>3854</v>
      </c>
      <c r="D77" s="564" t="s">
        <v>1283</v>
      </c>
      <c r="E77" s="578" t="s">
        <v>1017</v>
      </c>
      <c r="F77" s="577">
        <v>44609</v>
      </c>
      <c r="G77" s="463" t="s">
        <v>3800</v>
      </c>
      <c r="H77" s="554" t="s">
        <v>3768</v>
      </c>
      <c r="I77" s="554"/>
      <c r="J77" s="554"/>
      <c r="K77" s="554"/>
      <c r="L77" s="181" t="s">
        <v>3900</v>
      </c>
    </row>
    <row r="78" spans="1:12">
      <c r="A78" s="365">
        <v>4</v>
      </c>
      <c r="B78" s="364" t="s">
        <v>3910</v>
      </c>
      <c r="C78" s="563" t="s">
        <v>3855</v>
      </c>
      <c r="D78" s="564" t="s">
        <v>3911</v>
      </c>
      <c r="E78" s="578" t="s">
        <v>1017</v>
      </c>
      <c r="F78" s="577">
        <v>44609</v>
      </c>
      <c r="G78" s="463" t="s">
        <v>3800</v>
      </c>
      <c r="H78" s="551" t="s">
        <v>3765</v>
      </c>
      <c r="I78" s="552">
        <v>0.6</v>
      </c>
      <c r="J78" s="552">
        <v>0.53</v>
      </c>
      <c r="K78" s="552">
        <v>0.67</v>
      </c>
      <c r="L78" s="181"/>
    </row>
    <row r="79" spans="1:12">
      <c r="A79" s="365">
        <v>5</v>
      </c>
      <c r="B79" s="364" t="s">
        <v>3912</v>
      </c>
      <c r="C79" s="563" t="s">
        <v>3856</v>
      </c>
      <c r="D79" s="564" t="s">
        <v>3913</v>
      </c>
      <c r="E79" s="578" t="s">
        <v>1017</v>
      </c>
      <c r="F79" s="577">
        <v>44609</v>
      </c>
      <c r="G79" s="463" t="s">
        <v>3800</v>
      </c>
      <c r="H79" s="551" t="s">
        <v>3765</v>
      </c>
      <c r="I79" s="552">
        <v>0.63</v>
      </c>
      <c r="J79" s="552">
        <v>0.53</v>
      </c>
      <c r="K79" s="552">
        <v>0.6</v>
      </c>
      <c r="L79" s="181"/>
    </row>
    <row r="80" spans="1:12">
      <c r="A80" s="365">
        <v>6</v>
      </c>
      <c r="B80" s="364" t="s">
        <v>3914</v>
      </c>
      <c r="C80" s="563" t="s">
        <v>3857</v>
      </c>
      <c r="D80" s="564" t="s">
        <v>3915</v>
      </c>
      <c r="E80" s="578" t="s">
        <v>1017</v>
      </c>
      <c r="F80" s="577">
        <v>44609</v>
      </c>
      <c r="G80" s="463" t="s">
        <v>3800</v>
      </c>
      <c r="H80" s="551" t="s">
        <v>3765</v>
      </c>
      <c r="I80" s="552">
        <v>0.6</v>
      </c>
      <c r="J80" s="552">
        <v>0.43</v>
      </c>
      <c r="K80" s="552">
        <v>0.5</v>
      </c>
      <c r="L80" s="181"/>
    </row>
    <row r="81" spans="1:12">
      <c r="A81" s="365">
        <v>7</v>
      </c>
      <c r="B81" s="364" t="s">
        <v>3916</v>
      </c>
      <c r="C81" s="563" t="s">
        <v>3858</v>
      </c>
      <c r="D81" s="564" t="s">
        <v>3917</v>
      </c>
      <c r="E81" s="578" t="s">
        <v>1017</v>
      </c>
      <c r="F81" s="577">
        <v>44609</v>
      </c>
      <c r="G81" s="463" t="s">
        <v>3800</v>
      </c>
      <c r="H81" s="551" t="s">
        <v>3765</v>
      </c>
      <c r="I81" s="552">
        <v>0.6</v>
      </c>
      <c r="J81" s="552">
        <v>0.67</v>
      </c>
      <c r="K81" s="552">
        <v>0.6</v>
      </c>
      <c r="L81" s="181"/>
    </row>
    <row r="82" spans="1:12">
      <c r="A82" s="365">
        <v>8</v>
      </c>
      <c r="B82" s="364" t="s">
        <v>1037</v>
      </c>
      <c r="C82" s="563" t="s">
        <v>1038</v>
      </c>
      <c r="D82" s="564" t="s">
        <v>1039</v>
      </c>
      <c r="E82" s="542" t="s">
        <v>1040</v>
      </c>
      <c r="F82" s="577">
        <v>44609</v>
      </c>
      <c r="G82" s="463" t="s">
        <v>3800</v>
      </c>
      <c r="H82" s="551" t="s">
        <v>3765</v>
      </c>
      <c r="I82" s="552">
        <v>0.8</v>
      </c>
      <c r="J82" s="552">
        <v>0.77</v>
      </c>
      <c r="K82" s="552">
        <v>0.8</v>
      </c>
      <c r="L82" s="181"/>
    </row>
    <row r="83" spans="1:12">
      <c r="A83" s="365">
        <v>9</v>
      </c>
      <c r="B83" s="364" t="s">
        <v>3918</v>
      </c>
      <c r="C83" s="563" t="s">
        <v>3859</v>
      </c>
      <c r="D83" s="564" t="s">
        <v>3919</v>
      </c>
      <c r="E83" s="542" t="s">
        <v>1046</v>
      </c>
      <c r="F83" s="577">
        <v>44609</v>
      </c>
      <c r="G83" s="463" t="s">
        <v>3800</v>
      </c>
      <c r="H83" s="551" t="s">
        <v>3765</v>
      </c>
      <c r="I83" s="552">
        <v>0.6</v>
      </c>
      <c r="J83" s="552">
        <v>0.67</v>
      </c>
      <c r="K83" s="552">
        <v>0.56999999999999995</v>
      </c>
      <c r="L83" s="181"/>
    </row>
    <row r="84" spans="1:12">
      <c r="A84" s="365">
        <v>10</v>
      </c>
      <c r="B84" s="364" t="s">
        <v>1275</v>
      </c>
      <c r="C84" s="563" t="s">
        <v>3860</v>
      </c>
      <c r="D84" s="564" t="s">
        <v>1277</v>
      </c>
      <c r="E84" s="542" t="s">
        <v>1040</v>
      </c>
      <c r="F84" s="577">
        <v>44609</v>
      </c>
      <c r="G84" s="463" t="s">
        <v>3800</v>
      </c>
      <c r="H84" s="554" t="s">
        <v>3768</v>
      </c>
      <c r="I84" s="554"/>
      <c r="J84" s="554"/>
      <c r="K84" s="554"/>
      <c r="L84" s="181" t="s">
        <v>3900</v>
      </c>
    </row>
    <row r="85" spans="1:12">
      <c r="A85" s="365">
        <v>11</v>
      </c>
      <c r="B85" s="364" t="s">
        <v>1278</v>
      </c>
      <c r="C85" s="563" t="s">
        <v>3861</v>
      </c>
      <c r="D85" s="564" t="s">
        <v>1280</v>
      </c>
      <c r="E85" s="542" t="s">
        <v>1046</v>
      </c>
      <c r="F85" s="577">
        <v>44609</v>
      </c>
      <c r="G85" s="463" t="s">
        <v>3800</v>
      </c>
      <c r="H85" s="551" t="s">
        <v>3765</v>
      </c>
      <c r="I85" s="552">
        <v>0.67</v>
      </c>
      <c r="J85" s="552">
        <v>0.37</v>
      </c>
      <c r="K85" s="552">
        <v>0.53</v>
      </c>
      <c r="L85" s="181"/>
    </row>
    <row r="86" spans="1:12">
      <c r="A86" s="365">
        <v>12</v>
      </c>
      <c r="B86" s="364" t="s">
        <v>994</v>
      </c>
      <c r="C86" s="570" t="s">
        <v>1228</v>
      </c>
      <c r="D86" s="571" t="s">
        <v>1229</v>
      </c>
      <c r="E86" s="530" t="s">
        <v>997</v>
      </c>
      <c r="F86" s="550">
        <v>44609</v>
      </c>
      <c r="G86" s="463" t="s">
        <v>3800</v>
      </c>
      <c r="H86" s="579" t="s">
        <v>3768</v>
      </c>
      <c r="I86" s="579"/>
      <c r="J86" s="579"/>
      <c r="K86" s="579"/>
      <c r="L86" s="181" t="s">
        <v>3900</v>
      </c>
    </row>
    <row r="87" spans="1:12">
      <c r="A87" s="365">
        <v>13</v>
      </c>
      <c r="B87" s="364" t="s">
        <v>1000</v>
      </c>
      <c r="C87" s="570" t="s">
        <v>3849</v>
      </c>
      <c r="D87" s="571" t="s">
        <v>3920</v>
      </c>
      <c r="E87" s="530" t="s">
        <v>997</v>
      </c>
      <c r="F87" s="550">
        <v>44609</v>
      </c>
      <c r="G87" s="463" t="s">
        <v>3800</v>
      </c>
      <c r="H87" s="579" t="s">
        <v>3768</v>
      </c>
      <c r="I87" s="579"/>
      <c r="J87" s="579"/>
      <c r="K87" s="579"/>
      <c r="L87" s="181" t="s">
        <v>3893</v>
      </c>
    </row>
    <row r="88" spans="1:12">
      <c r="A88" s="365">
        <v>14</v>
      </c>
      <c r="B88" s="364" t="s">
        <v>1004</v>
      </c>
      <c r="C88" s="570" t="s">
        <v>3850</v>
      </c>
      <c r="D88" s="571" t="s">
        <v>1006</v>
      </c>
      <c r="E88" s="530" t="s">
        <v>997</v>
      </c>
      <c r="F88" s="550">
        <v>44609</v>
      </c>
      <c r="G88" s="463" t="s">
        <v>3800</v>
      </c>
      <c r="H88" s="579" t="s">
        <v>3768</v>
      </c>
      <c r="I88" s="579"/>
      <c r="J88" s="579"/>
      <c r="K88" s="579"/>
      <c r="L88" s="181" t="s">
        <v>3893</v>
      </c>
    </row>
    <row r="89" spans="1:12">
      <c r="A89" s="365">
        <v>15</v>
      </c>
      <c r="B89" s="364" t="s">
        <v>794</v>
      </c>
      <c r="C89" s="551" t="s">
        <v>3819</v>
      </c>
      <c r="D89" s="568" t="s">
        <v>796</v>
      </c>
      <c r="E89" s="527" t="s">
        <v>775</v>
      </c>
      <c r="F89" s="577">
        <v>44609</v>
      </c>
      <c r="G89" s="463" t="s">
        <v>3800</v>
      </c>
      <c r="H89" s="364" t="s">
        <v>3765</v>
      </c>
      <c r="I89" s="580">
        <v>0.33</v>
      </c>
      <c r="J89" s="580">
        <v>0.5</v>
      </c>
      <c r="K89" s="580">
        <v>0.2</v>
      </c>
      <c r="L89" s="181"/>
    </row>
    <row r="90" spans="1:12">
      <c r="A90" s="365">
        <v>1</v>
      </c>
      <c r="B90" s="364" t="s">
        <v>798</v>
      </c>
      <c r="C90" s="551" t="s">
        <v>3820</v>
      </c>
      <c r="D90" s="568" t="s">
        <v>800</v>
      </c>
      <c r="E90" s="527" t="s">
        <v>775</v>
      </c>
      <c r="F90" s="577">
        <v>44610</v>
      </c>
      <c r="G90" s="463" t="s">
        <v>3787</v>
      </c>
      <c r="H90" s="364" t="s">
        <v>3765</v>
      </c>
      <c r="I90" s="580">
        <v>0.56999999999999995</v>
      </c>
      <c r="J90" s="580">
        <v>0.47</v>
      </c>
      <c r="K90" s="580">
        <v>0.47</v>
      </c>
      <c r="L90" s="181"/>
    </row>
    <row r="91" spans="1:12">
      <c r="A91" s="365">
        <v>2</v>
      </c>
      <c r="B91" s="581" t="s">
        <v>1057</v>
      </c>
      <c r="C91" s="563" t="s">
        <v>3921</v>
      </c>
      <c r="D91" s="582" t="s">
        <v>1059</v>
      </c>
      <c r="E91" s="542" t="s">
        <v>1060</v>
      </c>
      <c r="F91" s="583">
        <v>44610</v>
      </c>
      <c r="G91" s="527" t="s">
        <v>3787</v>
      </c>
      <c r="H91" s="364" t="s">
        <v>3765</v>
      </c>
      <c r="I91" s="580">
        <v>0.43</v>
      </c>
      <c r="J91" s="580">
        <v>0.53</v>
      </c>
      <c r="K91" s="580">
        <v>0.47</v>
      </c>
      <c r="L91" s="181"/>
    </row>
    <row r="92" spans="1:12">
      <c r="A92" s="365">
        <v>3</v>
      </c>
      <c r="B92" s="584" t="s">
        <v>1063</v>
      </c>
      <c r="C92" s="566" t="s">
        <v>3922</v>
      </c>
      <c r="D92" s="582" t="s">
        <v>1065</v>
      </c>
      <c r="E92" s="542" t="s">
        <v>1060</v>
      </c>
      <c r="F92" s="583">
        <v>44610</v>
      </c>
      <c r="G92" s="527" t="s">
        <v>3787</v>
      </c>
      <c r="H92" s="364" t="s">
        <v>3765</v>
      </c>
      <c r="I92" s="580">
        <v>0.8</v>
      </c>
      <c r="J92" s="580">
        <v>0.8</v>
      </c>
      <c r="K92" s="580">
        <v>0.73</v>
      </c>
      <c r="L92" s="181"/>
    </row>
    <row r="93" spans="1:12">
      <c r="A93" s="365">
        <v>4</v>
      </c>
      <c r="B93" s="585" t="s">
        <v>1068</v>
      </c>
      <c r="C93" s="566" t="s">
        <v>3923</v>
      </c>
      <c r="D93" s="582" t="s">
        <v>1070</v>
      </c>
      <c r="E93" s="542" t="s">
        <v>1072</v>
      </c>
      <c r="F93" s="583">
        <v>44610</v>
      </c>
      <c r="G93" s="527" t="s">
        <v>3787</v>
      </c>
      <c r="H93" s="364" t="s">
        <v>3765</v>
      </c>
      <c r="I93" s="580">
        <v>0.93</v>
      </c>
      <c r="J93" s="580">
        <v>0.87</v>
      </c>
      <c r="K93" s="580">
        <v>0.73</v>
      </c>
      <c r="L93" s="181"/>
    </row>
    <row r="94" spans="1:12">
      <c r="A94" s="365">
        <v>5</v>
      </c>
      <c r="B94" s="585" t="s">
        <v>1075</v>
      </c>
      <c r="C94" s="566" t="s">
        <v>3924</v>
      </c>
      <c r="D94" s="582" t="s">
        <v>1077</v>
      </c>
      <c r="E94" s="542" t="s">
        <v>1072</v>
      </c>
      <c r="F94" s="583">
        <v>44610</v>
      </c>
      <c r="G94" s="527" t="s">
        <v>3787</v>
      </c>
      <c r="H94" s="364" t="s">
        <v>3765</v>
      </c>
      <c r="I94" s="580">
        <v>0.83</v>
      </c>
      <c r="J94" s="580">
        <v>0.8</v>
      </c>
      <c r="K94" s="580">
        <v>0.6</v>
      </c>
      <c r="L94" s="181"/>
    </row>
    <row r="95" spans="1:12">
      <c r="A95" s="365">
        <v>6</v>
      </c>
      <c r="B95" s="585" t="s">
        <v>1081</v>
      </c>
      <c r="C95" s="566" t="s">
        <v>3925</v>
      </c>
      <c r="D95" s="582" t="s">
        <v>1083</v>
      </c>
      <c r="E95" s="542" t="s">
        <v>1072</v>
      </c>
      <c r="F95" s="583">
        <v>44610</v>
      </c>
      <c r="G95" s="527" t="s">
        <v>3787</v>
      </c>
      <c r="H95" s="364" t="s">
        <v>3765</v>
      </c>
      <c r="I95" s="580">
        <v>0.63</v>
      </c>
      <c r="J95" s="580">
        <v>0.63</v>
      </c>
      <c r="K95" s="580">
        <v>0.63</v>
      </c>
      <c r="L95" s="181"/>
    </row>
    <row r="96" spans="1:12">
      <c r="A96" s="365">
        <v>7</v>
      </c>
      <c r="B96" s="585" t="s">
        <v>1086</v>
      </c>
      <c r="C96" s="566" t="s">
        <v>3926</v>
      </c>
      <c r="D96" s="582" t="s">
        <v>1088</v>
      </c>
      <c r="E96" s="542" t="s">
        <v>1072</v>
      </c>
      <c r="F96" s="583">
        <v>44610</v>
      </c>
      <c r="G96" s="527" t="s">
        <v>3787</v>
      </c>
      <c r="H96" s="364" t="s">
        <v>3765</v>
      </c>
      <c r="I96" s="580">
        <v>0.87</v>
      </c>
      <c r="J96" s="580">
        <v>0.63</v>
      </c>
      <c r="K96" s="580">
        <v>0.63</v>
      </c>
      <c r="L96" s="181"/>
    </row>
    <row r="97" spans="1:11">
      <c r="A97" s="365">
        <v>8</v>
      </c>
      <c r="B97" s="585" t="s">
        <v>1091</v>
      </c>
      <c r="C97" s="566" t="s">
        <v>3927</v>
      </c>
      <c r="D97" s="582" t="s">
        <v>1093</v>
      </c>
      <c r="E97" s="542" t="s">
        <v>1072</v>
      </c>
      <c r="F97" s="583">
        <v>44610</v>
      </c>
      <c r="G97" s="527" t="s">
        <v>3787</v>
      </c>
      <c r="H97" s="364" t="s">
        <v>3765</v>
      </c>
      <c r="I97" s="580">
        <v>0.83</v>
      </c>
      <c r="J97" s="580">
        <v>0.73</v>
      </c>
      <c r="K97" s="580">
        <v>0.73</v>
      </c>
    </row>
    <row r="98" spans="1:11">
      <c r="A98" s="365">
        <v>9</v>
      </c>
      <c r="B98" s="585" t="s">
        <v>1096</v>
      </c>
      <c r="C98" s="561" t="s">
        <v>3928</v>
      </c>
      <c r="D98" s="582" t="s">
        <v>1098</v>
      </c>
      <c r="E98" s="542" t="s">
        <v>1072</v>
      </c>
      <c r="F98" s="583">
        <v>44610</v>
      </c>
      <c r="G98" s="527" t="s">
        <v>3787</v>
      </c>
      <c r="H98" s="364" t="s">
        <v>3765</v>
      </c>
      <c r="I98" s="580">
        <v>0.8</v>
      </c>
      <c r="J98" s="580">
        <v>0.67</v>
      </c>
      <c r="K98" s="580">
        <v>0.73</v>
      </c>
    </row>
    <row r="99" spans="1:11">
      <c r="A99" s="365">
        <v>10</v>
      </c>
      <c r="B99" s="364" t="s">
        <v>848</v>
      </c>
      <c r="C99" s="570" t="s">
        <v>1259</v>
      </c>
      <c r="D99" s="571" t="s">
        <v>850</v>
      </c>
      <c r="E99" s="530" t="s">
        <v>851</v>
      </c>
      <c r="F99" s="550">
        <v>44610</v>
      </c>
      <c r="G99" s="365" t="s">
        <v>3787</v>
      </c>
      <c r="H99" s="364" t="s">
        <v>3765</v>
      </c>
      <c r="I99" s="580">
        <v>0.63</v>
      </c>
      <c r="J99" s="580">
        <v>0.53</v>
      </c>
      <c r="K99" s="580">
        <v>0.47</v>
      </c>
    </row>
    <row r="100" spans="1:11">
      <c r="A100" s="365">
        <v>11</v>
      </c>
      <c r="B100" s="364" t="s">
        <v>854</v>
      </c>
      <c r="C100" s="570" t="s">
        <v>3828</v>
      </c>
      <c r="D100" s="571" t="s">
        <v>856</v>
      </c>
      <c r="E100" s="530" t="s">
        <v>851</v>
      </c>
      <c r="F100" s="550">
        <v>44610</v>
      </c>
      <c r="G100" s="365" t="s">
        <v>3787</v>
      </c>
      <c r="H100" s="364" t="s">
        <v>3765</v>
      </c>
      <c r="I100" s="580">
        <v>0.37</v>
      </c>
      <c r="J100" s="580">
        <v>0.23</v>
      </c>
      <c r="K100" s="580">
        <v>0.17</v>
      </c>
    </row>
  </sheetData>
  <phoneticPr fontId="69" type="noConversion"/>
  <conditionalFormatting sqref="B91:B98">
    <cfRule type="duplicateValues" dxfId="1" priority="1"/>
    <cfRule type="duplicateValues" dxfId="0" priority="2"/>
  </conditionalFormatting>
  <pageMargins left="0.25" right="0.25" top="0.75" bottom="0.75" header="0.3" footer="0.3"/>
  <pageSetup paperSize="9" scale="83" fitToHeight="0" orientation="landscape" r:id="rId1"/>
  <headerFooter>
    <oddHeader>&amp;L&amp;"Calibri"&amp;10&amp;K000000 INTERNAL&amp;1#_x000D_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5"/>
  <dimension ref="B1:H38"/>
  <sheetViews>
    <sheetView workbookViewId="0">
      <selection activeCell="C15" sqref="C15"/>
    </sheetView>
  </sheetViews>
  <sheetFormatPr defaultColWidth="11.453125" defaultRowHeight="14.5"/>
  <cols>
    <col min="2" max="2" width="37.1796875" customWidth="1"/>
    <col min="3" max="3" width="11.453125" style="18"/>
    <col min="7" max="7" width="58.453125" customWidth="1"/>
  </cols>
  <sheetData>
    <row r="1" spans="2:3">
      <c r="B1" s="181"/>
      <c r="C1" s="18" t="s">
        <v>3879</v>
      </c>
    </row>
    <row r="3" spans="2:3">
      <c r="B3" s="19" t="s">
        <v>3929</v>
      </c>
      <c r="C3" s="20" t="str">
        <f ca="1">MID(CELL("filename",Certificate!A1),FIND("]", CELL("filename",Certificate!A1))+1,31)</f>
        <v>Certificate</v>
      </c>
    </row>
    <row r="4" spans="2:3">
      <c r="B4" s="181" t="s">
        <v>3930</v>
      </c>
      <c r="C4" s="18">
        <f>ROW(Certificate!A2)</f>
        <v>2</v>
      </c>
    </row>
    <row r="5" spans="2:3">
      <c r="B5" s="181" t="s">
        <v>3931</v>
      </c>
      <c r="C5" s="18" t="str">
        <f>Certificate!B2</f>
        <v>Name EN</v>
      </c>
    </row>
    <row r="6" spans="2:3">
      <c r="B6" s="181" t="s">
        <v>3932</v>
      </c>
      <c r="C6" s="21" t="str">
        <f>Certificate!D2</f>
        <v>ID - No.</v>
      </c>
    </row>
    <row r="7" spans="2:3">
      <c r="B7" s="181" t="s">
        <v>3933</v>
      </c>
      <c r="C7" s="18" t="str">
        <f>Certificate!E2</f>
        <v>Company EN</v>
      </c>
    </row>
    <row r="8" spans="2:3">
      <c r="B8" s="181" t="s">
        <v>3934</v>
      </c>
      <c r="C8" s="18" t="str">
        <f>Certificate!C2</f>
        <v>Name CN</v>
      </c>
    </row>
    <row r="9" spans="2:3">
      <c r="B9" s="181" t="s">
        <v>3935</v>
      </c>
      <c r="C9" s="21" t="str">
        <f>Certificate!D2</f>
        <v>ID - No.</v>
      </c>
    </row>
    <row r="10" spans="2:3">
      <c r="B10" s="181" t="s">
        <v>3936</v>
      </c>
      <c r="C10" s="18" t="str">
        <f>Certificate!F2</f>
        <v>Company CN</v>
      </c>
    </row>
    <row r="11" spans="2:3">
      <c r="B11" s="181" t="s">
        <v>3937</v>
      </c>
      <c r="C11" s="18" t="str">
        <f>Certificate!H2</f>
        <v>Date of Examination</v>
      </c>
    </row>
    <row r="12" spans="2:3">
      <c r="B12" s="181" t="s">
        <v>3938</v>
      </c>
      <c r="C12" s="18" t="str">
        <f>Certificate!J2</f>
        <v>Result</v>
      </c>
    </row>
    <row r="13" spans="2:3">
      <c r="B13" s="181" t="s">
        <v>3939</v>
      </c>
      <c r="C13" s="18">
        <f>ROW(Certificate!A3)</f>
        <v>3</v>
      </c>
    </row>
    <row r="14" spans="2:3">
      <c r="B14" s="181" t="s">
        <v>3940</v>
      </c>
      <c r="C14" s="18" t="str">
        <f>Certificate!G2</f>
        <v>Subject of Examination</v>
      </c>
    </row>
    <row r="15" spans="2:3">
      <c r="B15" s="181" t="s">
        <v>3941</v>
      </c>
      <c r="C15" s="18" t="str">
        <f>Certificate!K2</f>
        <v>Generate Cerficate</v>
      </c>
    </row>
    <row r="16" spans="2:3">
      <c r="B16" s="181" t="s">
        <v>3942</v>
      </c>
      <c r="C16" s="18">
        <f>COLUMN(Certificate!K2)</f>
        <v>11</v>
      </c>
    </row>
    <row r="35" spans="8:8">
      <c r="H35" s="22" t="s">
        <v>3943</v>
      </c>
    </row>
    <row r="36" spans="8:8">
      <c r="H36" s="23">
        <v>44022</v>
      </c>
    </row>
    <row r="37" spans="8:8">
      <c r="H37" s="24" t="s">
        <v>3944</v>
      </c>
    </row>
    <row r="38" spans="8:8">
      <c r="H38" s="25">
        <v>44326.69840277778</v>
      </c>
    </row>
  </sheetData>
  <phoneticPr fontId="69" type="noConversion"/>
  <pageMargins left="0.7" right="0.7" top="0.78740157499999996" bottom="0.78740157499999996" header="0.3" footer="0.3"/>
  <pageSetup orientation="portrait" horizontalDpi="1200" verticalDpi="1200" r:id="rId1"/>
  <headerFooter>
    <oddHeader>&amp;L&amp;"Calibri"&amp;10&amp;K000000 INTERNAL&amp;1#_x000D_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vIMComments xmlns="6728fbc4-2d96-42d6-b589-963edec66222" xsi:nil="true"/>
    <RevIMDeletionDate xmlns="6728fbc4-2d96-42d6-b589-963edec66222">2026-09-02T09:31:02+00:00</RevIMDeletionDate>
    <TaxCatchAll xmlns="6728fbc4-2d96-42d6-b589-963edec66222">
      <Value>1</Value>
    </TaxCatchAll>
    <RevIMExtends xmlns="6728fbc4-2d96-42d6-b589-963edec66222">{"Locked":null,"LockedBy":null,"UnLocked":null,"UnLockedBy":null,"KSUClass":"1c8c29b4-7b14-4375-b4f8-8d7d65cf16e2","Classified":"2024-09-02T18:54:38.812Z","Reclassified":null,"ReclassifiedBy":null,"EDReclassified":null,"EDReclassifiedBy":null,"EventCreated":null,"EventModified":null,"EventDeleted":null,"EventCreatedBy":null,"EventModifiedBy":null,"EventDeletedBy":null,"Moved":null,"MovedBy":null,"MovedFrom":null}</RevIMExtends>
    <e2ab34bca4e04b3697e10ca1517639ea xmlns="6728fbc4-2d96-42d6-b589-963edec66222">
      <Terms xmlns="http://schemas.microsoft.com/office/infopath/2007/PartnerControls"/>
    </e2ab34bca4e04b3697e10ca1517639ea>
    <i0f84bba906045b4af568ee102a52dcb xmlns="6728fbc4-2d96-42d6-b589-963edec66222">
      <Terms xmlns="http://schemas.microsoft.com/office/infopath/2007/PartnerControls">
        <TermInfo xmlns="http://schemas.microsoft.com/office/infopath/2007/PartnerControls">
          <TermName xmlns="http://schemas.microsoft.com/office/infopath/2007/PartnerControls">0.1 Initial category</TermName>
          <TermId xmlns="http://schemas.microsoft.com/office/infopath/2007/PartnerControls">1c8c29b4-7b14-4375-b4f8-8d7d65cf16e2</TermId>
        </TermInfo>
      </Terms>
    </i0f84bba906045b4af568ee102a52dcb>
    <RevIMEventDate xmlns="6728fbc4-2d96-42d6-b589-963edec66222" xsi:nil="true"/>
    <RevIMDocumentOwner xmlns="6728fbc4-2d96-42d6-b589-963edec66222">
      <UserInfo>
        <DisplayName/>
        <AccountId xsi:nil="true"/>
        <AccountType/>
      </UserInfo>
    </RevIMDocumentOwner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92AB123032F84F9EFD0DDDA1F33218" ma:contentTypeVersion="8" ma:contentTypeDescription="Create a new document." ma:contentTypeScope="" ma:versionID="5ae5950486debd1d3ed96cdd17ad4c8c">
  <xsd:schema xmlns:xsd="http://www.w3.org/2001/XMLSchema" xmlns:xs="http://www.w3.org/2001/XMLSchema" xmlns:p="http://schemas.microsoft.com/office/2006/metadata/properties" xmlns:ns2="6728fbc4-2d96-42d6-b589-963edec66222" targetNamespace="http://schemas.microsoft.com/office/2006/metadata/properties" ma:root="true" ma:fieldsID="6fe9c30651f9d7842983aa28bf80d087" ns2:_="">
    <xsd:import namespace="6728fbc4-2d96-42d6-b589-963edec66222"/>
    <xsd:element name="properties">
      <xsd:complexType>
        <xsd:sequence>
          <xsd:element name="documentManagement">
            <xsd:complexType>
              <xsd:all>
                <xsd:element ref="ns2:e2ab34bca4e04b3697e10ca1517639ea" minOccurs="0"/>
                <xsd:element ref="ns2:TaxCatchAll" minOccurs="0"/>
                <xsd:element ref="ns2:TaxCatchAllLabel" minOccurs="0"/>
                <xsd:element ref="ns2:i0f84bba906045b4af568ee102a52dcb" minOccurs="0"/>
                <xsd:element ref="ns2:RevIMDeletionDate" minOccurs="0"/>
                <xsd:element ref="ns2:RevIMEventDate" minOccurs="0"/>
                <xsd:element ref="ns2:RevIMComments" minOccurs="0"/>
                <xsd:element ref="ns2:RevIMDocumentOwner" minOccurs="0"/>
                <xsd:element ref="ns2:RevIMExte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28fbc4-2d96-42d6-b589-963edec66222" elementFormDefault="qualified">
    <xsd:import namespace="http://schemas.microsoft.com/office/2006/documentManagement/types"/>
    <xsd:import namespace="http://schemas.microsoft.com/office/infopath/2007/PartnerControls"/>
    <xsd:element name="e2ab34bca4e04b3697e10ca1517639ea" ma:index="8" nillable="true" ma:taxonomy="true" ma:internalName="e2ab34bca4e04b3697e10ca1517639ea" ma:taxonomyFieldName="eDiscoveryTag" ma:displayName="eDiscovery" ma:fieldId="{e2ab34bc-a4e0-4b36-97e1-0ca1517639ea}" ma:taxonomyMulti="true" ma:sspId="3c319a69-72e6-421f-823c-6aebb19f26ea" ma:termSetId="ffbcd0b3-72f9-4eba-be80-bd9b9af2483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9" nillable="true" ma:displayName="Taxonomy Catch All Column" ma:hidden="true" ma:list="{af5ee6e0-a07b-4af8-976c-1a75de22d295}" ma:internalName="TaxCatchAll" ma:showField="CatchAllData" ma:web="6728fbc4-2d96-42d6-b589-963edec662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hidden="true" ma:list="{af5ee6e0-a07b-4af8-976c-1a75de22d295}" ma:internalName="TaxCatchAllLabel" ma:readOnly="true" ma:showField="CatchAllDataLabel" ma:web="6728fbc4-2d96-42d6-b589-963edec662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i0f84bba906045b4af568ee102a52dcb" ma:index="13" nillable="true" ma:taxonomy="true" ma:internalName="i0f84bba906045b4af568ee102a52dcb" ma:taxonomyFieldName="RevIMBCS" ma:displayName="CSD Class" ma:readOnly="true" ma:default="1;#0.1 Initial category|1c8c29b4-7b14-4375-b4f8-8d7d65cf16e2" ma:fieldId="{20f84bba-9060-45b4-af56-8ee102a52dcb}" ma:sspId="3c319a69-72e6-421f-823c-6aebb19f26ea" ma:termSetId="3aff87b9-8244-437a-85cc-9593c32818f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RevIMDeletionDate" ma:index="14" nillable="true" ma:displayName="Deletion Date" ma:description="Deletion Date" ma:format="DateOnly" ma:internalName="RevIMDeletionDate" ma:readOnly="true">
      <xsd:simpleType>
        <xsd:restriction base="dms:DateTime"/>
      </xsd:simpleType>
    </xsd:element>
    <xsd:element name="RevIMEventDate" ma:index="15" nillable="true" ma:displayName="Event Date" ma:description="Event Date" ma:format="DateOnly" ma:internalName="RevIMEventDate" ma:readOnly="true">
      <xsd:simpleType>
        <xsd:restriction base="dms:DateTime"/>
      </xsd:simpleType>
    </xsd:element>
    <xsd:element name="RevIMComments" ma:index="16" nillable="true" ma:displayName="Event Comment" ma:internalName="RevIMComments" ma:readOnly="true">
      <xsd:simpleType>
        <xsd:restriction base="dms:Note">
          <xsd:maxLength value="255"/>
        </xsd:restriction>
      </xsd:simpleType>
    </xsd:element>
    <xsd:element name="RevIMDocumentOwner" ma:index="17" nillable="true" ma:displayName="Document Owner" ma:list="UserInfo" ma:internalName="RevIMDocumentOwn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vIMExtends" ma:index="18" nillable="true" ma:displayName="RevIMExtends" ma:hidden="true" ma:internalName="RevIMExtend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A9A69F0-1A3B-4BB3-B74F-B76865246ABF}">
  <ds:schemaRefs>
    <ds:schemaRef ds:uri="http://schemas.microsoft.com/office/2006/metadata/properties"/>
    <ds:schemaRef ds:uri="http://schemas.microsoft.com/office/infopath/2007/PartnerControls"/>
    <ds:schemaRef ds:uri="6728fbc4-2d96-42d6-b589-963edec66222"/>
  </ds:schemaRefs>
</ds:datastoreItem>
</file>

<file path=customXml/itemProps2.xml><?xml version="1.0" encoding="utf-8"?>
<ds:datastoreItem xmlns:ds="http://schemas.openxmlformats.org/officeDocument/2006/customXml" ds:itemID="{8B9552EE-9429-46F1-AF1E-0267FA31319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139AE86-11C7-4C54-843B-81134C65F2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28fbc4-2d96-42d6-b589-963edec662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b0ff92c5-92ff-43fe-a760-6a9303f9073d}" enabled="1" method="Standard" siteId="{1272ef7d-0a4c-4c35-8f4b-416e283c5d5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Allg.</vt:lpstr>
      <vt:lpstr>Company Invoice Infor</vt:lpstr>
      <vt:lpstr>Sheet1</vt:lpstr>
      <vt:lpstr>Invoice</vt:lpstr>
      <vt:lpstr>Certificate</vt:lpstr>
      <vt:lpstr>Schedule</vt:lpstr>
      <vt:lpstr>Konfiguration</vt:lpstr>
      <vt:lpstr>Allg.!Print_Area</vt:lpstr>
      <vt:lpstr>'Company Invoice Infor'!Print_Area</vt:lpstr>
    </vt:vector>
  </TitlesOfParts>
  <Manager/>
  <Company>Volkswagen AG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Tang, Wen</dc:creator>
  <cp:keywords/>
  <dc:description/>
  <cp:lastModifiedBy>Zhang, Yang (SH-P)</cp:lastModifiedBy>
  <cp:revision/>
  <dcterms:created xsi:type="dcterms:W3CDTF">2020-04-28T05:30:35Z</dcterms:created>
  <dcterms:modified xsi:type="dcterms:W3CDTF">2024-10-14T05:28:27Z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0x0101000192AB123032F84F9EFD0DDDA1F33218</vt:lpwstr>
  </property>
  <property fmtid="{D5CDD505-2E9C-101B-9397-08002B2CF9AE}" pid="3" name="RevIMBCS">
    <vt:lpwstr>1;#0.1 Initial category|1c8c29b4-7b14-4375-b4f8-8d7d65cf16e2</vt:lpwstr>
  </property>
  <property fmtid="{D5CDD505-2E9C-101B-9397-08002B2CF9AE}" pid="4" name="eDiscoveryTag">
    <vt:lpwstr/>
  </property>
</Properties>
</file>